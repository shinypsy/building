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o\Downloads\배현준\월1일마다 건축과 게시판 업로드\"/>
    </mc:Choice>
  </mc:AlternateContent>
  <xr:revisionPtr revIDLastSave="0" documentId="13_ncr:1_{64EADF6D-2233-4BC0-87A4-6291BF25A7B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건축허가" sheetId="1" r:id="rId1"/>
    <sheet name="사용승인허가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A3" i="2" l="1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4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5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6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7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2" i="2"/>
</calcChain>
</file>

<file path=xl/sharedStrings.xml><?xml version="1.0" encoding="utf-8"?>
<sst xmlns="http://schemas.openxmlformats.org/spreadsheetml/2006/main" count="288" uniqueCount="134">
  <si>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</si>
  <si>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</si>
  <si>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</si>
  <si>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</si>
  <si>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</si>
  <si>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</si>
  <si>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</si>
  <si>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</si>
  <si>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</si>
  <si>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</si>
  <si>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</si>
  <si>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</si>
  <si>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</si>
  <si>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</si>
  <si>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</si>
  <si>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</si>
  <si>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</si>
  <si>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</si>
  <si>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</si>
  <si>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</si>
  <si>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</si>
  <si>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</si>
  <si>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</si>
  <si>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</si>
  <si>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</si>
  <si>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</si>
  <si>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</si>
  <si>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</si>
  <si>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</si>
  <si>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</si>
  <si>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</si>
  <si>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</si>
  <si>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</si>
  <si>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</si>
  <si>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</si>
  <si>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</si>
  <si>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</si>
  <si>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</si>
  <si>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</si>
  <si>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</si>
  <si>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</si>
  <si>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</si>
  <si>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</si>
  <si>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</si>
  <si>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건물명</t>
  </si>
  <si>
    <t>건축구분</t>
    <phoneticPr fontId="2" type="noConversion"/>
  </si>
  <si>
    <t>신축</t>
  </si>
  <si>
    <t>서울특별시 구로구 항동 236-8</t>
  </si>
  <si>
    <t>주유소용지</t>
  </si>
  <si>
    <t>1,308.3</t>
  </si>
  <si>
    <t>504.18</t>
  </si>
  <si>
    <t/>
  </si>
  <si>
    <t>38.54</t>
  </si>
  <si>
    <t>철근콘크리트구조</t>
  </si>
  <si>
    <t>미취소</t>
  </si>
  <si>
    <t>2026-04-30</t>
  </si>
  <si>
    <t>1</t>
  </si>
  <si>
    <t>0</t>
  </si>
  <si>
    <t>7.2</t>
  </si>
  <si>
    <t>3</t>
  </si>
  <si>
    <t>하수종말처리장연결</t>
  </si>
  <si>
    <t>위험물저장및처리시설</t>
  </si>
  <si>
    <t>주유소</t>
  </si>
  <si>
    <t>도시지역</t>
  </si>
  <si>
    <t>8</t>
  </si>
  <si>
    <t>105.15</t>
  </si>
  <si>
    <t>2</t>
  </si>
  <si>
    <t>(주)데쿠스종합건축사사무소</t>
  </si>
  <si>
    <t>용도변경</t>
  </si>
  <si>
    <t>서울특별시 구로구 개봉동 403-89</t>
  </si>
  <si>
    <t>대</t>
  </si>
  <si>
    <t>305.1</t>
  </si>
  <si>
    <t>147.98</t>
  </si>
  <si>
    <t>641.5</t>
  </si>
  <si>
    <t>48.5</t>
  </si>
  <si>
    <t>194.01</t>
  </si>
  <si>
    <t>2026-04-27</t>
  </si>
  <si>
    <t>4</t>
  </si>
  <si>
    <t>12.1</t>
  </si>
  <si>
    <t>부패탱크방법</t>
  </si>
  <si>
    <t>제2종근린생활시설</t>
  </si>
  <si>
    <t>사무소</t>
  </si>
  <si>
    <t>제3종일반주거지역</t>
  </si>
  <si>
    <t>장애물제한표면구역</t>
  </si>
  <si>
    <t>5</t>
  </si>
  <si>
    <t>116.2</t>
  </si>
  <si>
    <t>엘림아키건축사사무소</t>
  </si>
  <si>
    <t>서울특별시 구로구 구로동 41-5</t>
  </si>
  <si>
    <t>231.5</t>
  </si>
  <si>
    <t>115.18</t>
  </si>
  <si>
    <t>689.08</t>
  </si>
  <si>
    <t>49.75</t>
  </si>
  <si>
    <t>241.68</t>
  </si>
  <si>
    <t>2026-04-20</t>
  </si>
  <si>
    <t>14.8</t>
  </si>
  <si>
    <t>대공방어협조구역</t>
  </si>
  <si>
    <t>토지거래계약에관한허가구역</t>
  </si>
  <si>
    <t>34.5</t>
  </si>
  <si>
    <t>12</t>
  </si>
  <si>
    <t>주식회사 상진엔지니어링건축사사무소</t>
  </si>
  <si>
    <t>증축</t>
  </si>
  <si>
    <t>서울특별시 구로구 가리봉동 133-47</t>
  </si>
  <si>
    <t>133.6</t>
  </si>
  <si>
    <t>77.7</t>
  </si>
  <si>
    <t>325.87</t>
  </si>
  <si>
    <t>39.88</t>
  </si>
  <si>
    <t>58.16</t>
  </si>
  <si>
    <t>192.44</t>
  </si>
  <si>
    <t>2026-04-15</t>
  </si>
  <si>
    <t>11.2</t>
  </si>
  <si>
    <t>단독주택</t>
  </si>
  <si>
    <t>제2종일반주거지역</t>
  </si>
  <si>
    <t>11</t>
  </si>
  <si>
    <t>창 건축사사무소</t>
  </si>
  <si>
    <t>서울특별시 구로구 구로동 730-5 외1필지</t>
  </si>
  <si>
    <t>255</t>
  </si>
  <si>
    <t>134.88</t>
  </si>
  <si>
    <t>284.87</t>
  </si>
  <si>
    <t>52.89</t>
  </si>
  <si>
    <t>105.78</t>
  </si>
  <si>
    <t>벽돌구조</t>
  </si>
  <si>
    <t>2026-04-14</t>
  </si>
  <si>
    <t>제1종근린생활시설</t>
  </si>
  <si>
    <t>제1종근린생활시설(소매점), 다세대주택</t>
  </si>
  <si>
    <t>(주)건축사사무소 한터</t>
  </si>
  <si>
    <t>서울특별시 구로구 구로동 413-80</t>
  </si>
  <si>
    <t>838</t>
  </si>
  <si>
    <t>417.85</t>
  </si>
  <si>
    <t>2,174.21</t>
  </si>
  <si>
    <t>49.86</t>
  </si>
  <si>
    <t>223.58</t>
  </si>
  <si>
    <t>2026-04-01</t>
  </si>
  <si>
    <t>제1,2종근린생활시설</t>
  </si>
  <si>
    <t>건창건축사사무소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</si>
</sst>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0" fillId="3" borderId="2" xfId="0" applyFill="1" applyBorder="1" applyAlignment="1">
      <alignment horizont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ro/Downloads/20260506_&#49324;&#50857;(&#51076;&#49884;)&#49849;&#51064;&#54728;&#44032;&#54788;&#54889;&#51312;&#549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0"/>
    </sheetNames>
    <sheetDataSet>
      <sheetData sheetId="0">
        <row r="1">
          <cell r="A1" t="str">
            <v>건축구분</v>
          </cell>
          <cell r="B1" t="str">
            <v>건물명</v>
          </cell>
          <cell r="C1" t="str">
            <v>허가번호</v>
          </cell>
          <cell r="D1" t="str">
            <v>건축주명</v>
          </cell>
          <cell r="E1" t="str">
            <v>건축주 주민구분</v>
          </cell>
          <cell r="F1" t="str">
            <v>대지위치</v>
          </cell>
          <cell r="G1" t="str">
            <v>지목</v>
          </cell>
          <cell r="H1" t="str">
            <v>대지면적(㎡)</v>
          </cell>
          <cell r="I1" t="str">
            <v>건축면적(㎡)</v>
          </cell>
          <cell r="J1" t="str">
            <v>연면적(㎡)</v>
          </cell>
          <cell r="K1" t="str">
            <v>증축연면적(㎡)</v>
          </cell>
          <cell r="L1" t="str">
            <v>건폐율(%)</v>
          </cell>
          <cell r="M1" t="str">
            <v>용적률(%)</v>
          </cell>
          <cell r="N1" t="str">
            <v>구조</v>
          </cell>
          <cell r="O1" t="str">
            <v>취소구분</v>
          </cell>
          <cell r="P1" t="str">
            <v>철거멸실구분</v>
          </cell>
          <cell r="Q1" t="str">
            <v>허가취소일</v>
          </cell>
          <cell r="R1" t="str">
            <v>허가일</v>
          </cell>
          <cell r="S1" t="str">
            <v>최종설계변경일</v>
          </cell>
          <cell r="T1" t="str">
            <v>착공처리일</v>
          </cell>
          <cell r="U1" t="str">
            <v>착공예정일</v>
          </cell>
          <cell r="V1" t="str">
            <v>실제착공일</v>
          </cell>
          <cell r="W1" t="str">
            <v>착공연기일</v>
          </cell>
          <cell r="X1" t="str">
            <v>착공연기사유</v>
          </cell>
          <cell r="Y1" t="str">
            <v>임시사용승인기간</v>
          </cell>
          <cell r="Z1" t="str">
            <v>사용승인일</v>
          </cell>
          <cell r="AA1" t="str">
            <v>건축허가최초접수일</v>
          </cell>
          <cell r="AB1" t="str">
            <v>최대지상층수</v>
          </cell>
          <cell r="AC1" t="str">
            <v>최대지하층수</v>
          </cell>
          <cell r="AD1" t="str">
            <v>최고높이(m)</v>
          </cell>
          <cell r="AE1" t="str">
            <v>동수</v>
          </cell>
          <cell r="AF1" t="str">
            <v>승강기합</v>
          </cell>
          <cell r="AG1" t="str">
            <v>비상승강기합</v>
          </cell>
          <cell r="AH1" t="str">
            <v>하수처리시설명</v>
          </cell>
          <cell r="AI1" t="str">
            <v>하수처리시설용량(㎥)</v>
          </cell>
          <cell r="AJ1" t="str">
            <v>주용도</v>
          </cell>
          <cell r="AK1" t="str">
            <v>부속용도</v>
          </cell>
          <cell r="AL1" t="str">
            <v>용도지역</v>
          </cell>
          <cell r="AM1" t="str">
            <v>용도지구</v>
          </cell>
          <cell r="AN1" t="str">
            <v>용도구역</v>
          </cell>
          <cell r="AO1" t="str">
            <v>자주식옥내주차장(대)</v>
          </cell>
          <cell r="AP1" t="str">
            <v>자주식옥외주차장(대)</v>
          </cell>
          <cell r="AQ1" t="str">
            <v>기계식옥내주차장(대)</v>
          </cell>
          <cell r="AR1" t="str">
            <v>기계식옥외주차장(대)</v>
          </cell>
          <cell r="AS1" t="str">
            <v>인근자주식주차장(대)</v>
          </cell>
          <cell r="AT1" t="str">
            <v>인근기계식주차장(대)</v>
          </cell>
          <cell r="AU1" t="str">
            <v>총주차대수</v>
          </cell>
          <cell r="AV1" t="str">
            <v>총주차장면적(㎡)</v>
          </cell>
          <cell r="AW1" t="str">
            <v>세대수</v>
          </cell>
          <cell r="AX1" t="str">
            <v>호수</v>
          </cell>
          <cell r="AY1" t="str">
            <v>가구수</v>
          </cell>
          <cell r="AZ1" t="str">
            <v>주건축물수</v>
          </cell>
          <cell r="BA1" t="str">
            <v>부속건축물수</v>
          </cell>
          <cell r="BB1" t="str">
            <v>설계자명</v>
          </cell>
          <cell r="BC1" t="str">
            <v>설계자 등록번호</v>
          </cell>
          <cell r="BD1" t="str">
            <v>설계사무소명</v>
          </cell>
          <cell r="BE1" t="str">
            <v>감리자명</v>
          </cell>
          <cell r="BF1" t="str">
            <v>감리사무소명</v>
          </cell>
          <cell r="BG1" t="str">
            <v>시공자명</v>
          </cell>
          <cell r="BH1" t="str">
            <v>시공자사무소명</v>
          </cell>
          <cell r="BI1" t="str">
            <v>조사자명</v>
          </cell>
          <cell r="BJ1" t="str">
            <v>조사자사무소명</v>
          </cell>
          <cell r="BK1" t="str">
            <v>현장관리인명</v>
          </cell>
          <cell r="BL1" t="str">
            <v>현장배치기술자</v>
          </cell>
        </row>
        <row r="2">
          <cell r="A2" t="str">
            <v>증축</v>
          </cell>
          <cell r="B2" t="str">
            <v>헤리티지</v>
          </cell>
          <cell r="C2" t="str">
            <v>2026-건축과-증축허가-3</v>
          </cell>
          <cell r="D2" t="str">
            <v>김종섭</v>
          </cell>
          <cell r="E2" t="str">
            <v>내국인</v>
          </cell>
          <cell r="F2" t="str">
            <v>서울특별시 구로구 가리봉동 133-47</v>
          </cell>
          <cell r="G2" t="str">
            <v>대</v>
          </cell>
          <cell r="H2" t="str">
            <v>133.6</v>
          </cell>
          <cell r="I2" t="str">
            <v>77.7</v>
          </cell>
          <cell r="J2" t="str">
            <v>325.87</v>
          </cell>
          <cell r="K2" t="str">
            <v>39.88</v>
          </cell>
          <cell r="L2" t="str">
            <v>58.16</v>
          </cell>
          <cell r="M2" t="str">
            <v>192.44</v>
          </cell>
          <cell r="N2" t="str">
            <v>철근콘크리트구조</v>
          </cell>
          <cell r="O2" t="str">
            <v/>
          </cell>
          <cell r="P2" t="str">
            <v/>
          </cell>
          <cell r="Q2" t="str">
            <v/>
          </cell>
          <cell r="R2" t="str">
            <v>2026-04-15</v>
          </cell>
          <cell r="S2" t="str">
            <v/>
          </cell>
          <cell r="T2" t="str">
            <v/>
          </cell>
          <cell r="U2" t="str">
            <v/>
          </cell>
          <cell r="V2" t="str">
            <v>2026-04-16</v>
          </cell>
          <cell r="W2" t="str">
            <v/>
          </cell>
          <cell r="X2" t="str">
            <v/>
          </cell>
          <cell r="Y2" t="str">
            <v/>
          </cell>
          <cell r="Z2" t="str">
            <v>2026-04-23</v>
          </cell>
          <cell r="AA2" t="str">
            <v>2026-04-07</v>
          </cell>
          <cell r="AB2" t="str">
            <v>0</v>
          </cell>
          <cell r="AC2" t="str">
            <v>0</v>
          </cell>
          <cell r="AD2" t="str">
            <v>11.2</v>
          </cell>
          <cell r="AE2" t="str">
            <v>1</v>
          </cell>
          <cell r="AF2" t="str">
            <v/>
          </cell>
          <cell r="AG2" t="str">
            <v/>
          </cell>
          <cell r="AH2" t="str">
            <v>부패탱크방법</v>
          </cell>
          <cell r="AI2" t="str">
            <v/>
          </cell>
          <cell r="AJ2" t="str">
            <v>단독주택</v>
          </cell>
          <cell r="AK2" t="str">
            <v>제2종근린생활시설</v>
          </cell>
          <cell r="AL2" t="str">
            <v>제2종일반주거지역</v>
          </cell>
          <cell r="AM2" t="str">
            <v/>
          </cell>
          <cell r="AN2" t="str">
            <v/>
          </cell>
          <cell r="AO2" t="str">
            <v>0</v>
          </cell>
          <cell r="AP2" t="str">
            <v>2</v>
          </cell>
          <cell r="AQ2" t="str">
            <v>0</v>
          </cell>
          <cell r="AR2" t="str">
            <v>0</v>
          </cell>
          <cell r="AS2" t="str">
            <v>0</v>
          </cell>
          <cell r="AT2" t="str">
            <v>0</v>
          </cell>
          <cell r="AU2" t="str">
            <v>2</v>
          </cell>
          <cell r="AV2" t="str">
            <v>0</v>
          </cell>
          <cell r="AW2" t="str">
            <v/>
          </cell>
          <cell r="AX2" t="str">
            <v>11</v>
          </cell>
          <cell r="AY2" t="str">
            <v/>
          </cell>
          <cell r="AZ2" t="str">
            <v>1</v>
          </cell>
          <cell r="BA2" t="str">
            <v/>
          </cell>
          <cell r="BB2" t="str">
            <v>오세창</v>
          </cell>
          <cell r="BC2" t="str">
            <v>구로구-건축사사무소-27</v>
          </cell>
          <cell r="BD2" t="str">
            <v>창 건축사사무소</v>
          </cell>
          <cell r="BE2" t="str">
            <v/>
          </cell>
          <cell r="BF2" t="str">
            <v/>
          </cell>
          <cell r="BG2" t="str">
            <v/>
          </cell>
          <cell r="BH2" t="str">
            <v/>
          </cell>
          <cell r="BI2" t="str">
            <v>오세창</v>
          </cell>
          <cell r="BJ2" t="str">
            <v>창 건축사사무소</v>
          </cell>
          <cell r="BK2" t="str">
            <v/>
          </cell>
          <cell r="BL2" t="str">
            <v/>
          </cell>
        </row>
        <row r="3">
          <cell r="A3" t="str">
            <v>증축</v>
          </cell>
          <cell r="B3" t="str">
            <v>구로동 40-11</v>
          </cell>
          <cell r="C3" t="str">
            <v>2026-건축과-증축허가-2</v>
          </cell>
          <cell r="D3" t="str">
            <v>주식회사더블에이치홀딩스</v>
          </cell>
          <cell r="E3" t="str">
            <v>법인</v>
          </cell>
          <cell r="F3" t="str">
            <v>서울특별시 구로구 구로동 40-11</v>
          </cell>
          <cell r="G3" t="str">
            <v>대</v>
          </cell>
          <cell r="H3" t="str">
            <v>231.1</v>
          </cell>
          <cell r="I3" t="str">
            <v>112.84</v>
          </cell>
          <cell r="J3" t="str">
            <v>543.95</v>
          </cell>
          <cell r="K3" t="str">
            <v>543.95</v>
          </cell>
          <cell r="L3" t="str">
            <v>48.82</v>
          </cell>
          <cell r="M3" t="str">
            <v>170.17</v>
          </cell>
          <cell r="N3" t="str">
            <v>철근콘크리트구조</v>
          </cell>
          <cell r="O3" t="str">
            <v/>
          </cell>
          <cell r="P3" t="str">
            <v/>
          </cell>
          <cell r="Q3" t="str">
            <v/>
          </cell>
          <cell r="R3" t="str">
            <v>2026-03-27</v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>2026-04-28</v>
          </cell>
          <cell r="AA3" t="str">
            <v>2026-01-05</v>
          </cell>
          <cell r="AB3" t="str">
            <v>4</v>
          </cell>
          <cell r="AC3" t="str">
            <v>1</v>
          </cell>
          <cell r="AD3" t="str">
            <v>13.08</v>
          </cell>
          <cell r="AE3" t="str">
            <v>1</v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>제2종근린생활시설</v>
          </cell>
          <cell r="AK3" t="str">
            <v/>
          </cell>
          <cell r="AL3" t="str">
            <v>도시지역</v>
          </cell>
          <cell r="AM3" t="str">
            <v/>
          </cell>
          <cell r="AN3" t="str">
            <v/>
          </cell>
          <cell r="AO3" t="str">
            <v>2</v>
          </cell>
          <cell r="AP3" t="str">
            <v>0</v>
          </cell>
          <cell r="AQ3" t="str">
            <v>0</v>
          </cell>
          <cell r="AR3" t="str">
            <v>0</v>
          </cell>
          <cell r="AS3" t="str">
            <v>0</v>
          </cell>
          <cell r="AT3" t="str">
            <v>0</v>
          </cell>
          <cell r="AU3" t="str">
            <v>2</v>
          </cell>
          <cell r="AV3" t="str">
            <v>0</v>
          </cell>
          <cell r="AW3" t="str">
            <v/>
          </cell>
          <cell r="AX3" t="str">
            <v/>
          </cell>
          <cell r="AY3" t="str">
            <v/>
          </cell>
          <cell r="AZ3" t="str">
            <v>1</v>
          </cell>
          <cell r="BA3" t="str">
            <v/>
          </cell>
          <cell r="BB3" t="str">
            <v>황영란</v>
          </cell>
          <cell r="BC3" t="str">
            <v>용인시-건축사사무소-84</v>
          </cell>
          <cell r="BD3" t="str">
            <v>준 건축사사무소 주식회사</v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</row>
        <row r="4">
          <cell r="A4" t="str">
            <v>증축</v>
          </cell>
          <cell r="B4" t="str">
            <v>개봉동 유니온 창고</v>
          </cell>
          <cell r="C4" t="str">
            <v>2025-건축과-증축허가-1</v>
          </cell>
          <cell r="D4" t="str">
            <v>주식회사서울유니온약품</v>
          </cell>
          <cell r="E4" t="str">
            <v>법인</v>
          </cell>
          <cell r="F4" t="str">
            <v>서울특별시 구로구 개봉동 157-13</v>
          </cell>
          <cell r="G4" t="str">
            <v>대</v>
          </cell>
          <cell r="H4" t="str">
            <v>5,597</v>
          </cell>
          <cell r="I4" t="str">
            <v>2,476.45</v>
          </cell>
          <cell r="J4" t="str">
            <v>6,452.78</v>
          </cell>
          <cell r="K4" t="str">
            <v>1,584.74</v>
          </cell>
          <cell r="L4" t="str">
            <v>44.25</v>
          </cell>
          <cell r="M4" t="str">
            <v>102.93</v>
          </cell>
          <cell r="N4" t="str">
            <v>일반철골구조</v>
          </cell>
          <cell r="O4" t="str">
            <v/>
          </cell>
          <cell r="P4" t="str">
            <v/>
          </cell>
          <cell r="Q4" t="str">
            <v/>
          </cell>
          <cell r="R4" t="str">
            <v>2025-09-17</v>
          </cell>
          <cell r="S4" t="str">
            <v/>
          </cell>
          <cell r="T4" t="str">
            <v>2025-12-24</v>
          </cell>
          <cell r="U4" t="str">
            <v>2025-12-01</v>
          </cell>
          <cell r="V4" t="str">
            <v>2025-12-24</v>
          </cell>
          <cell r="W4" t="str">
            <v/>
          </cell>
          <cell r="X4" t="str">
            <v/>
          </cell>
          <cell r="Y4" t="str">
            <v/>
          </cell>
          <cell r="Z4" t="str">
            <v>2026-04-01</v>
          </cell>
          <cell r="AA4" t="str">
            <v>2025-08-22</v>
          </cell>
          <cell r="AB4" t="str">
            <v>2</v>
          </cell>
          <cell r="AC4" t="str">
            <v>1</v>
          </cell>
          <cell r="AD4" t="str">
            <v>11.49</v>
          </cell>
          <cell r="AE4" t="str">
            <v>3</v>
          </cell>
          <cell r="AF4" t="str">
            <v>0</v>
          </cell>
          <cell r="AG4" t="str">
            <v/>
          </cell>
          <cell r="AH4" t="str">
            <v/>
          </cell>
          <cell r="AI4" t="str">
            <v/>
          </cell>
          <cell r="AJ4" t="str">
            <v>판매시설</v>
          </cell>
          <cell r="AK4" t="str">
            <v>상점</v>
          </cell>
          <cell r="AL4" t="str">
            <v>제3종일반주거지역</v>
          </cell>
          <cell r="AM4" t="str">
            <v/>
          </cell>
          <cell r="AN4" t="str">
            <v/>
          </cell>
          <cell r="AO4" t="str">
            <v>0</v>
          </cell>
          <cell r="AP4" t="str">
            <v>45</v>
          </cell>
          <cell r="AQ4" t="str">
            <v>0</v>
          </cell>
          <cell r="AR4" t="str">
            <v>0</v>
          </cell>
          <cell r="AS4" t="str">
            <v>0</v>
          </cell>
          <cell r="AT4" t="str">
            <v>0</v>
          </cell>
          <cell r="AU4" t="str">
            <v>45</v>
          </cell>
          <cell r="AV4" t="str">
            <v>562.5</v>
          </cell>
          <cell r="AW4" t="str">
            <v/>
          </cell>
          <cell r="AX4" t="str">
            <v/>
          </cell>
          <cell r="AY4" t="str">
            <v/>
          </cell>
          <cell r="AZ4" t="str">
            <v>3</v>
          </cell>
          <cell r="BA4" t="str">
            <v/>
          </cell>
          <cell r="BB4" t="str">
            <v>김영조</v>
          </cell>
          <cell r="BC4" t="str">
            <v>강남구-건축사사무소-2931</v>
          </cell>
          <cell r="BD4" t="str">
            <v>건축사사무소여헌(주)</v>
          </cell>
          <cell r="BE4" t="str">
            <v>건축사사무소여헌주식회사</v>
          </cell>
          <cell r="BF4" t="str">
            <v>건축사사무소여헌(주)</v>
          </cell>
          <cell r="BG4" t="str">
            <v>구경희</v>
          </cell>
          <cell r="BH4" t="str">
            <v>유남종합건설 주식회사</v>
          </cell>
          <cell r="BI4" t="str">
            <v>김영조</v>
          </cell>
          <cell r="BJ4" t="str">
            <v>건축사사무소여헌(주)</v>
          </cell>
          <cell r="BK4" t="str">
            <v/>
          </cell>
          <cell r="BL4" t="str">
            <v/>
          </cell>
        </row>
        <row r="5">
          <cell r="A5" t="str">
            <v>대수선</v>
          </cell>
          <cell r="B5" t="str">
            <v>고척동 53-2  근린생활시설</v>
          </cell>
          <cell r="C5" t="str">
            <v>2025-건축과-대수선허가-3</v>
          </cell>
          <cell r="D5" t="str">
            <v>에스제이글로비스(이영은)</v>
          </cell>
          <cell r="E5" t="str">
            <v>내국인</v>
          </cell>
          <cell r="F5" t="str">
            <v>서울특별시 구로구 고척동 53-2</v>
          </cell>
          <cell r="G5" t="str">
            <v>대</v>
          </cell>
          <cell r="H5" t="str">
            <v>272</v>
          </cell>
          <cell r="I5" t="str">
            <v>229.42</v>
          </cell>
          <cell r="J5" t="str">
            <v>666.45</v>
          </cell>
          <cell r="K5" t="str">
            <v/>
          </cell>
          <cell r="L5" t="str">
            <v>84.35</v>
          </cell>
          <cell r="M5" t="str">
            <v>245.02</v>
          </cell>
          <cell r="N5" t="str">
            <v>철근콘크리트구조</v>
          </cell>
          <cell r="O5" t="str">
            <v/>
          </cell>
          <cell r="P5" t="str">
            <v/>
          </cell>
          <cell r="Q5" t="str">
            <v/>
          </cell>
          <cell r="R5" t="str">
            <v>2025-04-30</v>
          </cell>
          <cell r="S5" t="str">
            <v>2026-03-11</v>
          </cell>
          <cell r="T5" t="str">
            <v>2025-09-23</v>
          </cell>
          <cell r="U5" t="str">
            <v>2025-09-29</v>
          </cell>
          <cell r="V5" t="str">
            <v>2025-09-29</v>
          </cell>
          <cell r="W5" t="str">
            <v/>
          </cell>
          <cell r="X5" t="str">
            <v/>
          </cell>
          <cell r="Y5" t="str">
            <v/>
          </cell>
          <cell r="Z5" t="str">
            <v>2026-04-14</v>
          </cell>
          <cell r="AA5" t="str">
            <v>2025-03-24</v>
          </cell>
          <cell r="AB5" t="str">
            <v>4</v>
          </cell>
          <cell r="AC5" t="str">
            <v>0</v>
          </cell>
          <cell r="AD5" t="str">
            <v>12.2</v>
          </cell>
          <cell r="AE5" t="str">
            <v>1</v>
          </cell>
          <cell r="AF5" t="str">
            <v>1</v>
          </cell>
          <cell r="AG5" t="str">
            <v/>
          </cell>
          <cell r="AH5" t="str">
            <v>부패탱크방법</v>
          </cell>
          <cell r="AI5" t="str">
            <v>13</v>
          </cell>
          <cell r="AJ5" t="str">
            <v>제2종근린생활시설</v>
          </cell>
          <cell r="AK5" t="str">
            <v>일반음식점</v>
          </cell>
          <cell r="AL5" t="str">
            <v>도시지역</v>
          </cell>
          <cell r="AM5" t="str">
            <v/>
          </cell>
          <cell r="AN5" t="str">
            <v>장애물제한표면구역</v>
          </cell>
          <cell r="AO5" t="str">
            <v>0</v>
          </cell>
          <cell r="AP5" t="str">
            <v>0</v>
          </cell>
          <cell r="AQ5" t="str">
            <v>0</v>
          </cell>
          <cell r="AR5" t="str">
            <v>0</v>
          </cell>
          <cell r="AS5" t="str">
            <v>0</v>
          </cell>
          <cell r="AT5" t="str">
            <v>0</v>
          </cell>
          <cell r="AU5" t="str">
            <v>0</v>
          </cell>
          <cell r="AV5" t="str">
            <v>0</v>
          </cell>
          <cell r="AW5" t="str">
            <v/>
          </cell>
          <cell r="AX5" t="str">
            <v/>
          </cell>
          <cell r="AY5" t="str">
            <v/>
          </cell>
          <cell r="AZ5" t="str">
            <v>1</v>
          </cell>
          <cell r="BA5" t="str">
            <v/>
          </cell>
          <cell r="BB5" t="str">
            <v>류정민</v>
          </cell>
          <cell r="BC5" t="str">
            <v>영등포구-건축사사무소-635</v>
          </cell>
          <cell r="BD5" t="str">
            <v>(주)KDI건축사사무소</v>
          </cell>
          <cell r="BE5" t="str">
            <v>류정민</v>
          </cell>
          <cell r="BF5" t="str">
            <v>(주)KDI건축사사무소</v>
          </cell>
          <cell r="BG5" t="str">
            <v>송득종</v>
          </cell>
          <cell r="BH5" t="str">
            <v>(주)경동하우징</v>
          </cell>
          <cell r="BI5" t="str">
            <v>류정민</v>
          </cell>
          <cell r="BJ5" t="str">
            <v>(주)KDI건축사사무소</v>
          </cell>
          <cell r="BK5" t="str">
            <v/>
          </cell>
          <cell r="BL5" t="str">
            <v>정상국</v>
          </cell>
        </row>
        <row r="6">
          <cell r="A6" t="str">
            <v>신축</v>
          </cell>
          <cell r="B6" t="str">
            <v>아이유하임</v>
          </cell>
          <cell r="C6" t="str">
            <v>2025-건축과-신축허가-2</v>
          </cell>
          <cell r="D6" t="str">
            <v>(주)참다원건설</v>
          </cell>
          <cell r="E6" t="str">
            <v>법인</v>
          </cell>
          <cell r="F6" t="str">
            <v>서울특별시 구로구 구로동 685-122</v>
          </cell>
          <cell r="G6" t="str">
            <v>대</v>
          </cell>
          <cell r="H6" t="str">
            <v>995</v>
          </cell>
          <cell r="I6" t="str">
            <v>353.75</v>
          </cell>
          <cell r="J6" t="str">
            <v>3,382.42</v>
          </cell>
          <cell r="K6" t="str">
            <v/>
          </cell>
          <cell r="L6" t="str">
            <v>35.55</v>
          </cell>
          <cell r="M6" t="str">
            <v>288.18</v>
          </cell>
          <cell r="N6" t="str">
            <v>철근콘크리트구조</v>
          </cell>
          <cell r="O6" t="str">
            <v/>
          </cell>
          <cell r="P6" t="str">
            <v/>
          </cell>
          <cell r="Q6" t="str">
            <v/>
          </cell>
          <cell r="R6" t="str">
            <v>2025-03-04</v>
          </cell>
          <cell r="S6" t="str">
            <v/>
          </cell>
          <cell r="T6" t="str">
            <v>2025-03-31</v>
          </cell>
          <cell r="U6" t="str">
            <v>2025-03-31</v>
          </cell>
          <cell r="V6" t="str">
            <v>2025-03-31</v>
          </cell>
          <cell r="W6" t="str">
            <v/>
          </cell>
          <cell r="X6" t="str">
            <v/>
          </cell>
          <cell r="Y6" t="str">
            <v/>
          </cell>
          <cell r="Z6" t="str">
            <v>2026-04-09</v>
          </cell>
          <cell r="AA6" t="str">
            <v>2025-02-14</v>
          </cell>
          <cell r="AB6" t="str">
            <v>11</v>
          </cell>
          <cell r="AC6" t="str">
            <v>1</v>
          </cell>
          <cell r="AD6" t="str">
            <v>37.15</v>
          </cell>
          <cell r="AE6" t="str">
            <v>1</v>
          </cell>
          <cell r="AF6" t="str">
            <v>1</v>
          </cell>
          <cell r="AG6" t="str">
            <v/>
          </cell>
          <cell r="AH6" t="str">
            <v>부패탱크방법</v>
          </cell>
          <cell r="AI6" t="str">
            <v>21</v>
          </cell>
          <cell r="AJ6" t="str">
            <v>업무시설</v>
          </cell>
          <cell r="AK6" t="str">
            <v>오피스텔</v>
          </cell>
          <cell r="AL6" t="str">
            <v>가로구역별최고높이제한지역</v>
          </cell>
          <cell r="AM6" t="str">
            <v>대공방어협조구역</v>
          </cell>
          <cell r="AN6" t="str">
            <v>장애물제한표면구역</v>
          </cell>
          <cell r="AO6" t="str">
            <v>30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 t="str">
            <v>30</v>
          </cell>
          <cell r="AV6" t="str">
            <v>388.51</v>
          </cell>
          <cell r="AW6" t="str">
            <v/>
          </cell>
          <cell r="AX6" t="str">
            <v>38</v>
          </cell>
          <cell r="AY6" t="str">
            <v/>
          </cell>
          <cell r="AZ6" t="str">
            <v>1</v>
          </cell>
          <cell r="BA6" t="str">
            <v/>
          </cell>
          <cell r="BB6" t="str">
            <v>김재구</v>
          </cell>
          <cell r="BC6" t="str">
            <v>강남구-건축사사무소-1684</v>
          </cell>
          <cell r="BD6" t="str">
            <v>(주)아르윈건축사사무소</v>
          </cell>
          <cell r="BE6" t="str">
            <v>황보찬</v>
          </cell>
          <cell r="BF6" t="str">
            <v>주식회사 위빌드건축사사무소</v>
          </cell>
          <cell r="BG6" t="str">
            <v>한성희</v>
          </cell>
          <cell r="BH6" t="str">
            <v>주식회사 에스에이치종합개발</v>
          </cell>
          <cell r="BI6" t="str">
            <v>황보찬</v>
          </cell>
          <cell r="BJ6" t="str">
            <v>(주)위빌드건축사사무소</v>
          </cell>
          <cell r="BK6" t="str">
            <v/>
          </cell>
          <cell r="BL6" t="str">
            <v/>
          </cell>
        </row>
        <row r="7">
          <cell r="A7" t="str">
            <v>신축</v>
          </cell>
          <cell r="B7" t="str">
            <v>미라벨</v>
          </cell>
          <cell r="C7" t="str">
            <v>2022-건축과-신축허가-27</v>
          </cell>
          <cell r="D7" t="str">
            <v>화곡신용협동조합</v>
          </cell>
          <cell r="E7" t="str">
            <v>법인</v>
          </cell>
          <cell r="F7" t="str">
            <v>서울특별시 구로구 구로동 409-99</v>
          </cell>
          <cell r="G7" t="str">
            <v>대</v>
          </cell>
          <cell r="H7" t="str">
            <v>202</v>
          </cell>
          <cell r="I7" t="str">
            <v>119.64</v>
          </cell>
          <cell r="J7" t="str">
            <v>391.88</v>
          </cell>
          <cell r="K7" t="str">
            <v/>
          </cell>
          <cell r="L7" t="str">
            <v>59.23</v>
          </cell>
          <cell r="M7" t="str">
            <v>194</v>
          </cell>
          <cell r="N7" t="str">
            <v>철근콘크리트구조</v>
          </cell>
          <cell r="O7" t="str">
            <v/>
          </cell>
          <cell r="P7" t="str">
            <v/>
          </cell>
          <cell r="Q7" t="str">
            <v/>
          </cell>
          <cell r="R7" t="str">
            <v>2022-04-27</v>
          </cell>
          <cell r="S7" t="str">
            <v/>
          </cell>
          <cell r="T7" t="str">
            <v>2022-09-28</v>
          </cell>
          <cell r="U7" t="str">
            <v>2022-09-27</v>
          </cell>
          <cell r="V7" t="str">
            <v>2022-09-27</v>
          </cell>
          <cell r="W7" t="str">
            <v/>
          </cell>
          <cell r="X7" t="str">
            <v/>
          </cell>
          <cell r="Y7" t="str">
            <v/>
          </cell>
          <cell r="Z7" t="str">
            <v>2026-04-13</v>
          </cell>
          <cell r="AA7" t="str">
            <v>2022-04-06</v>
          </cell>
          <cell r="AB7" t="str">
            <v>5</v>
          </cell>
          <cell r="AC7" t="str">
            <v>0</v>
          </cell>
          <cell r="AD7" t="str">
            <v>16.6</v>
          </cell>
          <cell r="AE7" t="str">
            <v>1</v>
          </cell>
          <cell r="AF7" t="str">
            <v>1</v>
          </cell>
          <cell r="AG7" t="str">
            <v/>
          </cell>
          <cell r="AH7" t="str">
            <v>부패탱크방법</v>
          </cell>
          <cell r="AI7" t="str">
            <v/>
          </cell>
          <cell r="AJ7" t="str">
            <v>공동주택</v>
          </cell>
          <cell r="AK7" t="str">
            <v>다세대주택</v>
          </cell>
          <cell r="AL7" t="str">
            <v>제2종일반주거지역</v>
          </cell>
          <cell r="AM7" t="str">
            <v/>
          </cell>
          <cell r="AN7" t="str">
            <v/>
          </cell>
          <cell r="AO7" t="str">
            <v>5</v>
          </cell>
          <cell r="AP7" t="str">
            <v>1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 t="str">
            <v>6</v>
          </cell>
          <cell r="AV7" t="str">
            <v>85.54</v>
          </cell>
          <cell r="AW7" t="str">
            <v>7</v>
          </cell>
          <cell r="AX7" t="str">
            <v/>
          </cell>
          <cell r="AY7" t="str">
            <v/>
          </cell>
          <cell r="AZ7" t="str">
            <v>1</v>
          </cell>
          <cell r="BA7" t="str">
            <v/>
          </cell>
          <cell r="BB7" t="str">
            <v>강미애</v>
          </cell>
          <cell r="BC7" t="str">
            <v>서초구-건축사사무소-2824</v>
          </cell>
          <cell r="BD7" t="str">
            <v>(주)아더건축사사무소</v>
          </cell>
          <cell r="BE7" t="str">
            <v>강미애</v>
          </cell>
          <cell r="BF7" t="str">
            <v>(주)아더건축사사무소</v>
          </cell>
          <cell r="BG7" t="str">
            <v/>
          </cell>
          <cell r="BH7" t="str">
            <v/>
          </cell>
          <cell r="BI7" t="str">
            <v>강미애</v>
          </cell>
          <cell r="BJ7" t="str">
            <v>(주)아더건축사사무소</v>
          </cell>
          <cell r="BK7" t="str">
            <v/>
          </cell>
          <cell r="BL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/>
  </sheetViews>
  <sheetFormatPr defaultRowHeight="17.399999999999999" x14ac:dyDescent="0.4"/>
  <cols>
    <col min="1" max="1" width="8.59765625" bestFit="1" customWidth="1"/>
    <col min="2" max="2" width="36.8984375" bestFit="1" customWidth="1"/>
    <col min="3" max="3" width="10.3984375" bestFit="1" customWidth="1"/>
    <col min="4" max="5" width="11.5" bestFit="1" customWidth="1"/>
    <col min="6" max="6" width="9.59765625" bestFit="1" customWidth="1"/>
    <col min="7" max="7" width="13.5" bestFit="1" customWidth="1"/>
    <col min="8" max="9" width="9.296875" bestFit="1" customWidth="1"/>
    <col min="10" max="10" width="16.296875" bestFit="1" customWidth="1"/>
    <col min="11" max="11" width="8.59765625" bestFit="1" customWidth="1"/>
    <col min="12" max="12" width="12.3984375" bestFit="1" customWidth="1"/>
    <col min="13" max="13" width="10.3984375" bestFit="1" customWidth="1"/>
    <col min="14" max="14" width="10.8984375" bestFit="1" customWidth="1"/>
    <col min="15" max="16" width="12.3984375" bestFit="1" customWidth="1"/>
    <col min="17" max="17" width="11.296875" bestFit="1" customWidth="1"/>
    <col min="18" max="18" width="5" bestFit="1" customWidth="1"/>
    <col min="19" max="19" width="8.59765625" bestFit="1" customWidth="1"/>
    <col min="20" max="20" width="12.3984375" bestFit="1" customWidth="1"/>
    <col min="21" max="21" width="18.296875" bestFit="1" customWidth="1"/>
    <col min="22" max="22" width="19.3984375" bestFit="1" customWidth="1"/>
    <col min="23" max="23" width="20.19921875" bestFit="1" customWidth="1"/>
    <col min="24" max="24" width="35.19921875" bestFit="1" customWidth="1"/>
    <col min="25" max="25" width="17.3984375" bestFit="1" customWidth="1"/>
    <col min="26" max="26" width="16.296875" bestFit="1" customWidth="1"/>
    <col min="27" max="27" width="26.09765625" bestFit="1" customWidth="1"/>
    <col min="28" max="28" width="10.3984375" bestFit="1" customWidth="1"/>
    <col min="29" max="29" width="15.3984375" bestFit="1" customWidth="1"/>
    <col min="30" max="30" width="6.796875" bestFit="1" customWidth="1"/>
    <col min="31" max="31" width="5" bestFit="1" customWidth="1"/>
    <col min="32" max="32" width="6.796875" bestFit="1" customWidth="1"/>
    <col min="33" max="33" width="10.3984375" bestFit="1" customWidth="1"/>
    <col min="34" max="34" width="12.3984375" bestFit="1" customWidth="1"/>
    <col min="35" max="35" width="34.59765625" bestFit="1" customWidth="1"/>
  </cols>
  <sheetData>
    <row r="1" spans="1:35" ht="16.5" customHeight="1" x14ac:dyDescent="0.4">
      <c r="A1" s="4" t="s">
        <v>45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</row>
    <row r="2" spans="1:35" x14ac:dyDescent="0.4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50</v>
      </c>
      <c r="G2" t="s">
        <v>51</v>
      </c>
      <c r="H2" t="s">
        <v>52</v>
      </c>
      <c r="I2" t="s">
        <v>52</v>
      </c>
      <c r="J2" t="s">
        <v>53</v>
      </c>
      <c r="K2" t="s">
        <v>54</v>
      </c>
      <c r="L2" t="s">
        <v>51</v>
      </c>
      <c r="M2" t="s">
        <v>51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51</v>
      </c>
      <c r="T2" t="s">
        <v>51</v>
      </c>
      <c r="U2" t="s">
        <v>60</v>
      </c>
      <c r="V2" t="s">
        <v>51</v>
      </c>
      <c r="W2" t="s">
        <v>61</v>
      </c>
      <c r="X2" t="s">
        <v>62</v>
      </c>
      <c r="Y2" t="s">
        <v>63</v>
      </c>
      <c r="Z2" t="s">
        <v>51</v>
      </c>
      <c r="AA2" t="s">
        <v>51</v>
      </c>
      <c r="AB2" t="s">
        <v>64</v>
      </c>
      <c r="AC2" t="s">
        <v>65</v>
      </c>
      <c r="AD2" t="s">
        <v>51</v>
      </c>
      <c r="AE2" t="s">
        <v>51</v>
      </c>
      <c r="AF2" t="s">
        <v>51</v>
      </c>
      <c r="AG2" t="s">
        <v>56</v>
      </c>
      <c r="AH2" t="s">
        <v>66</v>
      </c>
      <c r="AI2" t="s">
        <v>67</v>
      </c>
    </row>
    <row r="3" spans="1:35" x14ac:dyDescent="0.4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51</v>
      </c>
      <c r="H3" t="s">
        <v>74</v>
      </c>
      <c r="I3" t="s">
        <v>75</v>
      </c>
      <c r="J3" t="s">
        <v>53</v>
      </c>
      <c r="K3" t="s">
        <v>54</v>
      </c>
      <c r="L3" t="s">
        <v>51</v>
      </c>
      <c r="M3" t="s">
        <v>51</v>
      </c>
      <c r="N3" t="s">
        <v>76</v>
      </c>
      <c r="O3" t="s">
        <v>77</v>
      </c>
      <c r="P3" t="s">
        <v>56</v>
      </c>
      <c r="Q3" t="s">
        <v>78</v>
      </c>
      <c r="R3" t="s">
        <v>56</v>
      </c>
      <c r="S3" t="s">
        <v>57</v>
      </c>
      <c r="T3" t="s">
        <v>57</v>
      </c>
      <c r="U3" t="s">
        <v>79</v>
      </c>
      <c r="V3" t="s">
        <v>51</v>
      </c>
      <c r="W3" t="s">
        <v>80</v>
      </c>
      <c r="X3" t="s">
        <v>81</v>
      </c>
      <c r="Y3" t="s">
        <v>82</v>
      </c>
      <c r="Z3" t="s">
        <v>51</v>
      </c>
      <c r="AA3" t="s">
        <v>83</v>
      </c>
      <c r="AB3" t="s">
        <v>84</v>
      </c>
      <c r="AC3" t="s">
        <v>85</v>
      </c>
      <c r="AD3" t="s">
        <v>51</v>
      </c>
      <c r="AE3" t="s">
        <v>51</v>
      </c>
      <c r="AF3" t="s">
        <v>51</v>
      </c>
      <c r="AG3" t="s">
        <v>56</v>
      </c>
      <c r="AH3" t="s">
        <v>51</v>
      </c>
      <c r="AI3" t="s">
        <v>86</v>
      </c>
    </row>
    <row r="4" spans="1:35" x14ac:dyDescent="0.4">
      <c r="A4" t="s">
        <v>68</v>
      </c>
      <c r="B4" t="s">
        <v>87</v>
      </c>
      <c r="C4" t="s">
        <v>70</v>
      </c>
      <c r="D4" t="s">
        <v>88</v>
      </c>
      <c r="E4" t="s">
        <v>89</v>
      </c>
      <c r="F4" t="s">
        <v>90</v>
      </c>
      <c r="G4" t="s">
        <v>51</v>
      </c>
      <c r="H4" t="s">
        <v>91</v>
      </c>
      <c r="I4" t="s">
        <v>92</v>
      </c>
      <c r="J4" t="s">
        <v>53</v>
      </c>
      <c r="K4" t="s">
        <v>54</v>
      </c>
      <c r="L4" t="s">
        <v>51</v>
      </c>
      <c r="M4" t="s">
        <v>51</v>
      </c>
      <c r="N4" t="s">
        <v>93</v>
      </c>
      <c r="O4" t="s">
        <v>84</v>
      </c>
      <c r="P4" t="s">
        <v>56</v>
      </c>
      <c r="Q4" t="s">
        <v>94</v>
      </c>
      <c r="R4" t="s">
        <v>56</v>
      </c>
      <c r="S4" t="s">
        <v>57</v>
      </c>
      <c r="T4" t="s">
        <v>51</v>
      </c>
      <c r="U4" t="s">
        <v>79</v>
      </c>
      <c r="V4" t="s">
        <v>51</v>
      </c>
      <c r="W4" t="s">
        <v>80</v>
      </c>
      <c r="X4" t="s">
        <v>51</v>
      </c>
      <c r="Y4" t="s">
        <v>63</v>
      </c>
      <c r="Z4" t="s">
        <v>95</v>
      </c>
      <c r="AA4" t="s">
        <v>96</v>
      </c>
      <c r="AB4" t="s">
        <v>59</v>
      </c>
      <c r="AC4" t="s">
        <v>97</v>
      </c>
      <c r="AD4" t="s">
        <v>51</v>
      </c>
      <c r="AE4" t="s">
        <v>98</v>
      </c>
      <c r="AF4" t="s">
        <v>56</v>
      </c>
      <c r="AG4" t="s">
        <v>56</v>
      </c>
      <c r="AH4" t="s">
        <v>51</v>
      </c>
      <c r="AI4" t="s">
        <v>99</v>
      </c>
    </row>
    <row r="5" spans="1:35" x14ac:dyDescent="0.4">
      <c r="A5" t="s">
        <v>100</v>
      </c>
      <c r="B5" t="s">
        <v>101</v>
      </c>
      <c r="C5" t="s">
        <v>70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53</v>
      </c>
      <c r="K5" t="s">
        <v>54</v>
      </c>
      <c r="L5" t="s">
        <v>51</v>
      </c>
      <c r="M5" t="s">
        <v>51</v>
      </c>
      <c r="N5" t="s">
        <v>108</v>
      </c>
      <c r="O5" t="s">
        <v>57</v>
      </c>
      <c r="P5" t="s">
        <v>57</v>
      </c>
      <c r="Q5" t="s">
        <v>109</v>
      </c>
      <c r="R5" t="s">
        <v>56</v>
      </c>
      <c r="S5" t="s">
        <v>51</v>
      </c>
      <c r="T5" t="s">
        <v>51</v>
      </c>
      <c r="U5" t="s">
        <v>79</v>
      </c>
      <c r="V5" t="s">
        <v>51</v>
      </c>
      <c r="W5" t="s">
        <v>110</v>
      </c>
      <c r="X5" t="s">
        <v>80</v>
      </c>
      <c r="Y5" t="s">
        <v>111</v>
      </c>
      <c r="Z5" t="s">
        <v>51</v>
      </c>
      <c r="AA5" t="s">
        <v>51</v>
      </c>
      <c r="AB5" t="s">
        <v>66</v>
      </c>
      <c r="AC5" t="s">
        <v>57</v>
      </c>
      <c r="AD5" t="s">
        <v>51</v>
      </c>
      <c r="AE5" t="s">
        <v>112</v>
      </c>
      <c r="AF5" t="s">
        <v>51</v>
      </c>
      <c r="AG5" t="s">
        <v>56</v>
      </c>
      <c r="AH5" t="s">
        <v>51</v>
      </c>
      <c r="AI5" t="s">
        <v>113</v>
      </c>
    </row>
    <row r="6" spans="1:35" x14ac:dyDescent="0.4">
      <c r="A6" t="s">
        <v>68</v>
      </c>
      <c r="B6" t="s">
        <v>114</v>
      </c>
      <c r="C6" t="s">
        <v>70</v>
      </c>
      <c r="D6" t="s">
        <v>115</v>
      </c>
      <c r="E6" t="s">
        <v>116</v>
      </c>
      <c r="F6" t="s">
        <v>117</v>
      </c>
      <c r="G6" t="s">
        <v>51</v>
      </c>
      <c r="H6" t="s">
        <v>118</v>
      </c>
      <c r="I6" t="s">
        <v>119</v>
      </c>
      <c r="J6" t="s">
        <v>120</v>
      </c>
      <c r="K6" t="s">
        <v>54</v>
      </c>
      <c r="L6" t="s">
        <v>51</v>
      </c>
      <c r="M6" t="s">
        <v>51</v>
      </c>
      <c r="N6" t="s">
        <v>121</v>
      </c>
      <c r="O6" t="s">
        <v>66</v>
      </c>
      <c r="P6" t="s">
        <v>56</v>
      </c>
      <c r="Q6" t="s">
        <v>57</v>
      </c>
      <c r="R6" t="s">
        <v>56</v>
      </c>
      <c r="S6" t="s">
        <v>57</v>
      </c>
      <c r="T6" t="s">
        <v>51</v>
      </c>
      <c r="U6" t="s">
        <v>51</v>
      </c>
      <c r="V6" t="s">
        <v>51</v>
      </c>
      <c r="W6" t="s">
        <v>122</v>
      </c>
      <c r="X6" t="s">
        <v>123</v>
      </c>
      <c r="Y6" t="s">
        <v>63</v>
      </c>
      <c r="Z6" t="s">
        <v>51</v>
      </c>
      <c r="AA6" t="s">
        <v>51</v>
      </c>
      <c r="AB6" t="s">
        <v>57</v>
      </c>
      <c r="AC6" t="s">
        <v>57</v>
      </c>
      <c r="AD6" t="s">
        <v>51</v>
      </c>
      <c r="AE6" t="s">
        <v>51</v>
      </c>
      <c r="AF6" t="s">
        <v>51</v>
      </c>
      <c r="AG6" t="s">
        <v>56</v>
      </c>
      <c r="AH6" t="s">
        <v>51</v>
      </c>
      <c r="AI6" t="s">
        <v>124</v>
      </c>
    </row>
    <row r="7" spans="1:35" x14ac:dyDescent="0.4">
      <c r="A7" t="s">
        <v>68</v>
      </c>
      <c r="B7" t="s">
        <v>125</v>
      </c>
      <c r="C7" t="s">
        <v>70</v>
      </c>
      <c r="D7" t="s">
        <v>126</v>
      </c>
      <c r="E7" t="s">
        <v>127</v>
      </c>
      <c r="F7" t="s">
        <v>128</v>
      </c>
      <c r="G7" t="s">
        <v>51</v>
      </c>
      <c r="H7" t="s">
        <v>129</v>
      </c>
      <c r="I7" t="s">
        <v>130</v>
      </c>
      <c r="J7" t="s">
        <v>53</v>
      </c>
      <c r="K7" t="s">
        <v>54</v>
      </c>
      <c r="L7" t="s">
        <v>51</v>
      </c>
      <c r="M7" t="s">
        <v>51</v>
      </c>
      <c r="N7" t="s">
        <v>131</v>
      </c>
      <c r="O7" t="s">
        <v>77</v>
      </c>
      <c r="P7" t="s">
        <v>56</v>
      </c>
      <c r="Q7" t="s">
        <v>57</v>
      </c>
      <c r="R7" t="s">
        <v>56</v>
      </c>
      <c r="S7" t="s">
        <v>57</v>
      </c>
      <c r="T7" t="s">
        <v>51</v>
      </c>
      <c r="U7" t="s">
        <v>79</v>
      </c>
      <c r="V7" t="s">
        <v>51</v>
      </c>
      <c r="W7" t="s">
        <v>80</v>
      </c>
      <c r="X7" t="s">
        <v>132</v>
      </c>
      <c r="Y7" t="s">
        <v>82</v>
      </c>
      <c r="Z7" t="s">
        <v>95</v>
      </c>
      <c r="AA7" t="s">
        <v>83</v>
      </c>
      <c r="AB7" t="s">
        <v>57</v>
      </c>
      <c r="AC7" t="s">
        <v>57</v>
      </c>
      <c r="AD7" t="s">
        <v>51</v>
      </c>
      <c r="AE7" t="s">
        <v>59</v>
      </c>
      <c r="AF7" t="s">
        <v>51</v>
      </c>
      <c r="AG7" t="s">
        <v>56</v>
      </c>
      <c r="AH7" t="s">
        <v>51</v>
      </c>
      <c r="AI7" t="s">
        <v>133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8"/>
  <sheetViews>
    <sheetView workbookViewId="0"/>
  </sheetViews>
  <sheetFormatPr defaultColWidth="9" defaultRowHeight="17.399999999999999" x14ac:dyDescent="0.4"/>
  <cols>
    <col min="1" max="1" width="8.59765625" style="3" bestFit="1" customWidth="1"/>
    <col min="2" max="2" width="24.19921875" style="3" bestFit="1" customWidth="1"/>
    <col min="3" max="3" width="32.296875" style="3" bestFit="1" customWidth="1"/>
    <col min="4" max="4" width="5" style="3" bestFit="1" customWidth="1"/>
    <col min="5" max="6" width="11.5" style="3" bestFit="1" customWidth="1"/>
    <col min="7" max="7" width="9.59765625" style="3" bestFit="1" customWidth="1"/>
    <col min="8" max="8" width="13.5" style="3" bestFit="1" customWidth="1"/>
    <col min="9" max="10" width="9.296875" style="3" bestFit="1" customWidth="1"/>
    <col min="11" max="11" width="16.296875" style="3" bestFit="1" customWidth="1"/>
    <col min="12" max="12" width="8.59765625" style="3" bestFit="1" customWidth="1"/>
    <col min="13" max="13" width="10.8984375" style="3" bestFit="1" customWidth="1"/>
    <col min="14" max="14" width="14.3984375" style="3" bestFit="1" customWidth="1"/>
    <col min="15" max="16" width="10.8984375" style="3" bestFit="1" customWidth="1"/>
    <col min="17" max="18" width="12.3984375" style="3" bestFit="1" customWidth="1"/>
    <col min="19" max="19" width="11.296875" style="3" bestFit="1" customWidth="1"/>
    <col min="20" max="20" width="5" style="3" bestFit="1" customWidth="1"/>
    <col min="21" max="21" width="8.59765625" style="3" bestFit="1" customWidth="1"/>
    <col min="22" max="22" width="12.3984375" style="3" bestFit="1" customWidth="1"/>
    <col min="23" max="23" width="14.3984375" style="3" bestFit="1" customWidth="1"/>
    <col min="24" max="24" width="19.3984375" style="3" bestFit="1" customWidth="1"/>
    <col min="25" max="26" width="17.3984375" style="3" bestFit="1" customWidth="1"/>
    <col min="27" max="27" width="26.09765625" style="3" bestFit="1" customWidth="1"/>
    <col min="28" max="28" width="16.296875" style="3" bestFit="1" customWidth="1"/>
    <col min="29" max="29" width="18.296875" style="3" bestFit="1" customWidth="1"/>
    <col min="30" max="33" width="19.3984375" style="3" bestFit="1" customWidth="1"/>
    <col min="34" max="34" width="10.3984375" style="3" bestFit="1" customWidth="1"/>
    <col min="35" max="35" width="15.3984375" style="3" bestFit="1" customWidth="1"/>
    <col min="36" max="36" width="6.796875" style="3" bestFit="1" customWidth="1"/>
    <col min="37" max="37" width="5" style="3" bestFit="1" customWidth="1"/>
    <col min="38" max="39" width="10.3984375" style="3" bestFit="1" customWidth="1"/>
    <col min="40" max="40" width="12.3984375" style="3" bestFit="1" customWidth="1"/>
    <col min="41" max="41" width="23.5" style="3" bestFit="1" customWidth="1"/>
    <col min="42" max="43" width="26.796875" style="3" bestFit="1" customWidth="1"/>
    <col min="44" max="16384" width="9" style="3"/>
  </cols>
  <sheetData>
    <row r="1" spans="1:43" ht="16.5" customHeight="1" x14ac:dyDescent="0.4">
      <c r="A1" s="2" t="s">
        <v>0</v>
      </c>
      <c r="B1" s="2" t="s">
        <v>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1" t="s">
        <v>34</v>
      </c>
      <c r="AI1" s="1" t="s">
        <v>35</v>
      </c>
      <c r="AJ1" s="1" t="s">
        <v>36</v>
      </c>
      <c r="AK1" s="2" t="s">
        <v>37</v>
      </c>
      <c r="AL1" s="1" t="s">
        <v>39</v>
      </c>
      <c r="AM1" s="1" t="s">
        <v>34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4">
      <c r="A2" t="str">
        <f>INDEX([1]Sheet0!$2:$7,ROW()-1,MATCH(A$1,[1]Sheet0!$1:$1,0))</f>
        <v>증축</v>
      </c>
      <c r="B2" t="str">
        <f>INDEX([1]Sheet0!$2:$7,ROW()-1,MATCH(B$1,[1]Sheet0!$1:$1,0))</f>
        <v>헤리티지</v>
      </c>
      <c r="C2" t="str">
        <f>INDEX([1]Sheet0!$2:$7,ROW()-1,MATCH(C$1,[1]Sheet0!$1:$1,0))</f>
        <v>서울특별시 구로구 가리봉동 133-47</v>
      </c>
      <c r="D2" t="str">
        <f>INDEX([1]Sheet0!$2:$7,ROW()-1,MATCH(D$1,[1]Sheet0!$1:$1,0))</f>
        <v>대</v>
      </c>
      <c r="E2" t="str">
        <f>INDEX([1]Sheet0!$2:$7,ROW()-1,MATCH(E$1,[1]Sheet0!$1:$1,0))</f>
        <v>133.6</v>
      </c>
      <c r="F2" t="str">
        <f>INDEX([1]Sheet0!$2:$7,ROW()-1,MATCH(F$1,[1]Sheet0!$1:$1,0))</f>
        <v>77.7</v>
      </c>
      <c r="G2" t="str">
        <f>INDEX([1]Sheet0!$2:$7,ROW()-1,MATCH(G$1,[1]Sheet0!$1:$1,0))</f>
        <v>325.87</v>
      </c>
      <c r="H2" t="str">
        <f>INDEX([1]Sheet0!$2:$7,ROW()-1,MATCH(H$1,[1]Sheet0!$1:$1,0))</f>
        <v>39.88</v>
      </c>
      <c r="I2" t="str">
        <f>INDEX([1]Sheet0!$2:$7,ROW()-1,MATCH(I$1,[1]Sheet0!$1:$1,0))</f>
        <v>58.16</v>
      </c>
      <c r="J2" t="str">
        <f>INDEX([1]Sheet0!$2:$7,ROW()-1,MATCH(J$1,[1]Sheet0!$1:$1,0))</f>
        <v>192.44</v>
      </c>
      <c r="K2" t="str">
        <f>INDEX([1]Sheet0!$2:$7,ROW()-1,MATCH(K$1,[1]Sheet0!$1:$1,0))</f>
        <v>철근콘크리트구조</v>
      </c>
      <c r="L2" t="str">
        <f>INDEX([1]Sheet0!$2:$7,ROW()-1,MATCH(L$1,[1]Sheet0!$1:$1,0))</f>
        <v/>
      </c>
      <c r="M2" t="str">
        <f>INDEX([1]Sheet0!$2:$7,ROW()-1,MATCH(M$1,[1]Sheet0!$1:$1,0))</f>
        <v>2026-04-15</v>
      </c>
      <c r="N2" t="str">
        <f>INDEX([1]Sheet0!$2:$7,ROW()-1,MATCH(N$1,[1]Sheet0!$1:$1,0))</f>
        <v/>
      </c>
      <c r="O2" t="str">
        <f>INDEX([1]Sheet0!$2:$7,ROW()-1,MATCH(O$1,[1]Sheet0!$1:$1,0))</f>
        <v/>
      </c>
      <c r="P2" t="str">
        <f>INDEX([1]Sheet0!$2:$7,ROW()-1,MATCH(P$1,[1]Sheet0!$1:$1,0))</f>
        <v>2026-04-23</v>
      </c>
      <c r="Q2" t="str">
        <f>INDEX([1]Sheet0!$2:$7,ROW()-1,MATCH(Q$1,[1]Sheet0!$1:$1,0))</f>
        <v>0</v>
      </c>
      <c r="R2" t="str">
        <f>INDEX([1]Sheet0!$2:$7,ROW()-1,MATCH(R$1,[1]Sheet0!$1:$1,0))</f>
        <v>0</v>
      </c>
      <c r="S2" t="str">
        <f>INDEX([1]Sheet0!$2:$7,ROW()-1,MATCH(S$1,[1]Sheet0!$1:$1,0))</f>
        <v>11.2</v>
      </c>
      <c r="T2" t="str">
        <f>INDEX([1]Sheet0!$2:$7,ROW()-1,MATCH(T$1,[1]Sheet0!$1:$1,0))</f>
        <v>1</v>
      </c>
      <c r="U2" t="str">
        <f>INDEX([1]Sheet0!$2:$7,ROW()-1,MATCH(U$1,[1]Sheet0!$1:$1,0))</f>
        <v/>
      </c>
      <c r="V2" t="str">
        <f>INDEX([1]Sheet0!$2:$7,ROW()-1,MATCH(V$1,[1]Sheet0!$1:$1,0))</f>
        <v/>
      </c>
      <c r="W2" t="str">
        <f>INDEX([1]Sheet0!$2:$7,ROW()-1,MATCH(W$1,[1]Sheet0!$1:$1,0))</f>
        <v>부패탱크방법</v>
      </c>
      <c r="X2" t="str">
        <f>INDEX([1]Sheet0!$2:$7,ROW()-1,MATCH(X$1,[1]Sheet0!$1:$1,0))</f>
        <v/>
      </c>
      <c r="Y2" t="str">
        <f>INDEX([1]Sheet0!$2:$7,ROW()-1,MATCH(Y$1,[1]Sheet0!$1:$1,0))</f>
        <v>단독주택</v>
      </c>
      <c r="Z2" t="str">
        <f>INDEX([1]Sheet0!$2:$7,ROW()-1,MATCH(Z$1,[1]Sheet0!$1:$1,0))</f>
        <v>제2종근린생활시설</v>
      </c>
      <c r="AA2" t="str">
        <f>INDEX([1]Sheet0!$2:$7,ROW()-1,MATCH(AA$1,[1]Sheet0!$1:$1,0))</f>
        <v>제2종일반주거지역</v>
      </c>
      <c r="AB2" t="str">
        <f>INDEX([1]Sheet0!$2:$7,ROW()-1,MATCH(AB$1,[1]Sheet0!$1:$1,0))</f>
        <v/>
      </c>
      <c r="AC2" t="str">
        <f>INDEX([1]Sheet0!$2:$7,ROW()-1,MATCH(AC$1,[1]Sheet0!$1:$1,0))</f>
        <v/>
      </c>
      <c r="AD2" t="str">
        <f>INDEX([1]Sheet0!$2:$7,ROW()-1,MATCH(AD$1,[1]Sheet0!$1:$1,0))</f>
        <v>0</v>
      </c>
      <c r="AE2" t="str">
        <f>INDEX([1]Sheet0!$2:$7,ROW()-1,MATCH(AE$1,[1]Sheet0!$1:$1,0))</f>
        <v>2</v>
      </c>
      <c r="AF2" t="str">
        <f>INDEX([1]Sheet0!$2:$7,ROW()-1,MATCH(AF$1,[1]Sheet0!$1:$1,0))</f>
        <v>0</v>
      </c>
      <c r="AG2" t="str">
        <f>INDEX([1]Sheet0!$2:$7,ROW()-1,MATCH(AG$1,[1]Sheet0!$1:$1,0))</f>
        <v>0</v>
      </c>
      <c r="AH2" t="str">
        <f>INDEX([1]Sheet0!$2:$7,ROW()-1,MATCH(AH$1,[1]Sheet0!$1:$1,0))</f>
        <v>2</v>
      </c>
      <c r="AI2" t="str">
        <f>INDEX([1]Sheet0!$2:$7,ROW()-1,MATCH(AI$1,[1]Sheet0!$1:$1,0))</f>
        <v>0</v>
      </c>
      <c r="AJ2" t="str">
        <f>INDEX([1]Sheet0!$2:$7,ROW()-1,MATCH(AJ$1,[1]Sheet0!$1:$1,0))</f>
        <v/>
      </c>
      <c r="AK2" t="str">
        <f>INDEX([1]Sheet0!$2:$7,ROW()-1,MATCH(AK$1,[1]Sheet0!$1:$1,0))</f>
        <v>11</v>
      </c>
      <c r="AL2" t="str">
        <f>INDEX([1]Sheet0!$2:$7,ROW()-1,MATCH(AL$1,[1]Sheet0!$1:$1,0))</f>
        <v>1</v>
      </c>
      <c r="AM2" t="str">
        <f>INDEX([1]Sheet0!$2:$7,ROW()-1,MATCH(AM$1,[1]Sheet0!$1:$1,0))</f>
        <v>2</v>
      </c>
      <c r="AN2" t="str">
        <f>INDEX([1]Sheet0!$2:$7,ROW()-1,MATCH(AN$1,[1]Sheet0!$1:$1,0))</f>
        <v/>
      </c>
      <c r="AO2" t="str">
        <f>INDEX([1]Sheet0!$2:$7,ROW()-1,MATCH(AO$1,[1]Sheet0!$1:$1,0))</f>
        <v>창 건축사사무소</v>
      </c>
      <c r="AP2" t="str">
        <f>INDEX([1]Sheet0!$2:$7,ROW()-1,MATCH(AP$1,[1]Sheet0!$1:$1,0))</f>
        <v/>
      </c>
      <c r="AQ2" t="str">
        <f>INDEX([1]Sheet0!$2:$7,ROW()-1,MATCH(AQ$1,[1]Sheet0!$1:$1,0))</f>
        <v/>
      </c>
    </row>
    <row r="3" spans="1:43" x14ac:dyDescent="0.4">
      <c r="A3" t="str">
        <f>INDEX([1]Sheet0!$2:$7,ROW()-1,MATCH(A$1,[1]Sheet0!$1:$1,0))</f>
        <v>증축</v>
      </c>
      <c r="B3" t="str">
        <f>INDEX([1]Sheet0!$2:$7,ROW()-1,MATCH(B$1,[1]Sheet0!$1:$1,0))</f>
        <v>구로동 40-11</v>
      </c>
      <c r="C3" t="str">
        <f>INDEX([1]Sheet0!$2:$7,ROW()-1,MATCH(C$1,[1]Sheet0!$1:$1,0))</f>
        <v>서울특별시 구로구 구로동 40-11</v>
      </c>
      <c r="D3" t="str">
        <f>INDEX([1]Sheet0!$2:$7,ROW()-1,MATCH(D$1,[1]Sheet0!$1:$1,0))</f>
        <v>대</v>
      </c>
      <c r="E3" t="str">
        <f>INDEX([1]Sheet0!$2:$7,ROW()-1,MATCH(E$1,[1]Sheet0!$1:$1,0))</f>
        <v>231.1</v>
      </c>
      <c r="F3" t="str">
        <f>INDEX([1]Sheet0!$2:$7,ROW()-1,MATCH(F$1,[1]Sheet0!$1:$1,0))</f>
        <v>112.84</v>
      </c>
      <c r="G3" t="str">
        <f>INDEX([1]Sheet0!$2:$7,ROW()-1,MATCH(G$1,[1]Sheet0!$1:$1,0))</f>
        <v>543.95</v>
      </c>
      <c r="H3" t="str">
        <f>INDEX([1]Sheet0!$2:$7,ROW()-1,MATCH(H$1,[1]Sheet0!$1:$1,0))</f>
        <v>543.95</v>
      </c>
      <c r="I3" t="str">
        <f>INDEX([1]Sheet0!$2:$7,ROW()-1,MATCH(I$1,[1]Sheet0!$1:$1,0))</f>
        <v>48.82</v>
      </c>
      <c r="J3" t="str">
        <f>INDEX([1]Sheet0!$2:$7,ROW()-1,MATCH(J$1,[1]Sheet0!$1:$1,0))</f>
        <v>170.17</v>
      </c>
      <c r="K3" t="str">
        <f>INDEX([1]Sheet0!$2:$7,ROW()-1,MATCH(K$1,[1]Sheet0!$1:$1,0))</f>
        <v>철근콘크리트구조</v>
      </c>
      <c r="L3" t="str">
        <f>INDEX([1]Sheet0!$2:$7,ROW()-1,MATCH(L$1,[1]Sheet0!$1:$1,0))</f>
        <v/>
      </c>
      <c r="M3" t="str">
        <f>INDEX([1]Sheet0!$2:$7,ROW()-1,MATCH(M$1,[1]Sheet0!$1:$1,0))</f>
        <v>2026-03-27</v>
      </c>
      <c r="N3" t="str">
        <f>INDEX([1]Sheet0!$2:$7,ROW()-1,MATCH(N$1,[1]Sheet0!$1:$1,0))</f>
        <v/>
      </c>
      <c r="O3" t="str">
        <f>INDEX([1]Sheet0!$2:$7,ROW()-1,MATCH(O$1,[1]Sheet0!$1:$1,0))</f>
        <v/>
      </c>
      <c r="P3" t="str">
        <f>INDEX([1]Sheet0!$2:$7,ROW()-1,MATCH(P$1,[1]Sheet0!$1:$1,0))</f>
        <v>2026-04-28</v>
      </c>
      <c r="Q3" t="str">
        <f>INDEX([1]Sheet0!$2:$7,ROW()-1,MATCH(Q$1,[1]Sheet0!$1:$1,0))</f>
        <v>4</v>
      </c>
      <c r="R3" t="str">
        <f>INDEX([1]Sheet0!$2:$7,ROW()-1,MATCH(R$1,[1]Sheet0!$1:$1,0))</f>
        <v>1</v>
      </c>
      <c r="S3" t="str">
        <f>INDEX([1]Sheet0!$2:$7,ROW()-1,MATCH(S$1,[1]Sheet0!$1:$1,0))</f>
        <v>13.08</v>
      </c>
      <c r="T3" t="str">
        <f>INDEX([1]Sheet0!$2:$7,ROW()-1,MATCH(T$1,[1]Sheet0!$1:$1,0))</f>
        <v>1</v>
      </c>
      <c r="U3" t="str">
        <f>INDEX([1]Sheet0!$2:$7,ROW()-1,MATCH(U$1,[1]Sheet0!$1:$1,0))</f>
        <v/>
      </c>
      <c r="V3" t="str">
        <f>INDEX([1]Sheet0!$2:$7,ROW()-1,MATCH(V$1,[1]Sheet0!$1:$1,0))</f>
        <v/>
      </c>
      <c r="W3" t="str">
        <f>INDEX([1]Sheet0!$2:$7,ROW()-1,MATCH(W$1,[1]Sheet0!$1:$1,0))</f>
        <v/>
      </c>
      <c r="X3" t="str">
        <f>INDEX([1]Sheet0!$2:$7,ROW()-1,MATCH(X$1,[1]Sheet0!$1:$1,0))</f>
        <v/>
      </c>
      <c r="Y3" t="str">
        <f>INDEX([1]Sheet0!$2:$7,ROW()-1,MATCH(Y$1,[1]Sheet0!$1:$1,0))</f>
        <v>제2종근린생활시설</v>
      </c>
      <c r="Z3" t="str">
        <f>INDEX([1]Sheet0!$2:$7,ROW()-1,MATCH(Z$1,[1]Sheet0!$1:$1,0))</f>
        <v/>
      </c>
      <c r="AA3" t="str">
        <f>INDEX([1]Sheet0!$2:$7,ROW()-1,MATCH(AA$1,[1]Sheet0!$1:$1,0))</f>
        <v>도시지역</v>
      </c>
      <c r="AB3" t="str">
        <f>INDEX([1]Sheet0!$2:$7,ROW()-1,MATCH(AB$1,[1]Sheet0!$1:$1,0))</f>
        <v/>
      </c>
      <c r="AC3" t="str">
        <f>INDEX([1]Sheet0!$2:$7,ROW()-1,MATCH(AC$1,[1]Sheet0!$1:$1,0))</f>
        <v/>
      </c>
      <c r="AD3" t="str">
        <f>INDEX([1]Sheet0!$2:$7,ROW()-1,MATCH(AD$1,[1]Sheet0!$1:$1,0))</f>
        <v>2</v>
      </c>
      <c r="AE3" t="str">
        <f>INDEX([1]Sheet0!$2:$7,ROW()-1,MATCH(AE$1,[1]Sheet0!$1:$1,0))</f>
        <v>0</v>
      </c>
      <c r="AF3" t="str">
        <f>INDEX([1]Sheet0!$2:$7,ROW()-1,MATCH(AF$1,[1]Sheet0!$1:$1,0))</f>
        <v>0</v>
      </c>
      <c r="AG3" t="str">
        <f>INDEX([1]Sheet0!$2:$7,ROW()-1,MATCH(AG$1,[1]Sheet0!$1:$1,0))</f>
        <v>0</v>
      </c>
      <c r="AH3" t="str">
        <f>INDEX([1]Sheet0!$2:$7,ROW()-1,MATCH(AH$1,[1]Sheet0!$1:$1,0))</f>
        <v>2</v>
      </c>
      <c r="AI3" t="str">
        <f>INDEX([1]Sheet0!$2:$7,ROW()-1,MATCH(AI$1,[1]Sheet0!$1:$1,0))</f>
        <v>0</v>
      </c>
      <c r="AJ3" t="str">
        <f>INDEX([1]Sheet0!$2:$7,ROW()-1,MATCH(AJ$1,[1]Sheet0!$1:$1,0))</f>
        <v/>
      </c>
      <c r="AK3" t="str">
        <f>INDEX([1]Sheet0!$2:$7,ROW()-1,MATCH(AK$1,[1]Sheet0!$1:$1,0))</f>
        <v/>
      </c>
      <c r="AL3" t="str">
        <f>INDEX([1]Sheet0!$2:$7,ROW()-1,MATCH(AL$1,[1]Sheet0!$1:$1,0))</f>
        <v>1</v>
      </c>
      <c r="AM3" t="str">
        <f>INDEX([1]Sheet0!$2:$7,ROW()-1,MATCH(AM$1,[1]Sheet0!$1:$1,0))</f>
        <v>2</v>
      </c>
      <c r="AN3" t="str">
        <f>INDEX([1]Sheet0!$2:$7,ROW()-1,MATCH(AN$1,[1]Sheet0!$1:$1,0))</f>
        <v/>
      </c>
      <c r="AO3" t="str">
        <f>INDEX([1]Sheet0!$2:$7,ROW()-1,MATCH(AO$1,[1]Sheet0!$1:$1,0))</f>
        <v>준 건축사사무소 주식회사</v>
      </c>
      <c r="AP3" t="str">
        <f>INDEX([1]Sheet0!$2:$7,ROW()-1,MATCH(AP$1,[1]Sheet0!$1:$1,0))</f>
        <v/>
      </c>
      <c r="AQ3" t="str">
        <f>INDEX([1]Sheet0!$2:$7,ROW()-1,MATCH(AQ$1,[1]Sheet0!$1:$1,0))</f>
        <v/>
      </c>
    </row>
    <row r="4" spans="1:43" x14ac:dyDescent="0.4">
      <c r="A4" t="str">
        <f>INDEX([1]Sheet0!$2:$7,ROW()-1,MATCH(A$1,[1]Sheet0!$1:$1,0))</f>
        <v>증축</v>
      </c>
      <c r="B4" t="str">
        <f>INDEX([1]Sheet0!$2:$7,ROW()-1,MATCH(B$1,[1]Sheet0!$1:$1,0))</f>
        <v>개봉동 유니온 창고</v>
      </c>
      <c r="C4" t="str">
        <f>INDEX([1]Sheet0!$2:$7,ROW()-1,MATCH(C$1,[1]Sheet0!$1:$1,0))</f>
        <v>서울특별시 구로구 개봉동 157-13</v>
      </c>
      <c r="D4" t="str">
        <f>INDEX([1]Sheet0!$2:$7,ROW()-1,MATCH(D$1,[1]Sheet0!$1:$1,0))</f>
        <v>대</v>
      </c>
      <c r="E4" t="str">
        <f>INDEX([1]Sheet0!$2:$7,ROW()-1,MATCH(E$1,[1]Sheet0!$1:$1,0))</f>
        <v>5,597</v>
      </c>
      <c r="F4" t="str">
        <f>INDEX([1]Sheet0!$2:$7,ROW()-1,MATCH(F$1,[1]Sheet0!$1:$1,0))</f>
        <v>2,476.45</v>
      </c>
      <c r="G4" t="str">
        <f>INDEX([1]Sheet0!$2:$7,ROW()-1,MATCH(G$1,[1]Sheet0!$1:$1,0))</f>
        <v>6,452.78</v>
      </c>
      <c r="H4" t="str">
        <f>INDEX([1]Sheet0!$2:$7,ROW()-1,MATCH(H$1,[1]Sheet0!$1:$1,0))</f>
        <v>1,584.74</v>
      </c>
      <c r="I4" t="str">
        <f>INDEX([1]Sheet0!$2:$7,ROW()-1,MATCH(I$1,[1]Sheet0!$1:$1,0))</f>
        <v>44.25</v>
      </c>
      <c r="J4" t="str">
        <f>INDEX([1]Sheet0!$2:$7,ROW()-1,MATCH(J$1,[1]Sheet0!$1:$1,0))</f>
        <v>102.93</v>
      </c>
      <c r="K4" t="str">
        <f>INDEX([1]Sheet0!$2:$7,ROW()-1,MATCH(K$1,[1]Sheet0!$1:$1,0))</f>
        <v>일반철골구조</v>
      </c>
      <c r="L4" t="str">
        <f>INDEX([1]Sheet0!$2:$7,ROW()-1,MATCH(L$1,[1]Sheet0!$1:$1,0))</f>
        <v/>
      </c>
      <c r="M4" t="str">
        <f>INDEX([1]Sheet0!$2:$7,ROW()-1,MATCH(M$1,[1]Sheet0!$1:$1,0))</f>
        <v>2025-09-17</v>
      </c>
      <c r="N4" t="str">
        <f>INDEX([1]Sheet0!$2:$7,ROW()-1,MATCH(N$1,[1]Sheet0!$1:$1,0))</f>
        <v/>
      </c>
      <c r="O4" t="str">
        <f>INDEX([1]Sheet0!$2:$7,ROW()-1,MATCH(O$1,[1]Sheet0!$1:$1,0))</f>
        <v>2025-12-24</v>
      </c>
      <c r="P4" t="str">
        <f>INDEX([1]Sheet0!$2:$7,ROW()-1,MATCH(P$1,[1]Sheet0!$1:$1,0))</f>
        <v>2026-04-01</v>
      </c>
      <c r="Q4" t="str">
        <f>INDEX([1]Sheet0!$2:$7,ROW()-1,MATCH(Q$1,[1]Sheet0!$1:$1,0))</f>
        <v>2</v>
      </c>
      <c r="R4" t="str">
        <f>INDEX([1]Sheet0!$2:$7,ROW()-1,MATCH(R$1,[1]Sheet0!$1:$1,0))</f>
        <v>1</v>
      </c>
      <c r="S4" t="str">
        <f>INDEX([1]Sheet0!$2:$7,ROW()-1,MATCH(S$1,[1]Sheet0!$1:$1,0))</f>
        <v>11.49</v>
      </c>
      <c r="T4" t="str">
        <f>INDEX([1]Sheet0!$2:$7,ROW()-1,MATCH(T$1,[1]Sheet0!$1:$1,0))</f>
        <v>3</v>
      </c>
      <c r="U4" t="str">
        <f>INDEX([1]Sheet0!$2:$7,ROW()-1,MATCH(U$1,[1]Sheet0!$1:$1,0))</f>
        <v>0</v>
      </c>
      <c r="V4" t="str">
        <f>INDEX([1]Sheet0!$2:$7,ROW()-1,MATCH(V$1,[1]Sheet0!$1:$1,0))</f>
        <v/>
      </c>
      <c r="W4" t="str">
        <f>INDEX([1]Sheet0!$2:$7,ROW()-1,MATCH(W$1,[1]Sheet0!$1:$1,0))</f>
        <v/>
      </c>
      <c r="X4" t="str">
        <f>INDEX([1]Sheet0!$2:$7,ROW()-1,MATCH(X$1,[1]Sheet0!$1:$1,0))</f>
        <v/>
      </c>
      <c r="Y4" t="str">
        <f>INDEX([1]Sheet0!$2:$7,ROW()-1,MATCH(Y$1,[1]Sheet0!$1:$1,0))</f>
        <v>판매시설</v>
      </c>
      <c r="Z4" t="str">
        <f>INDEX([1]Sheet0!$2:$7,ROW()-1,MATCH(Z$1,[1]Sheet0!$1:$1,0))</f>
        <v>상점</v>
      </c>
      <c r="AA4" t="str">
        <f>INDEX([1]Sheet0!$2:$7,ROW()-1,MATCH(AA$1,[1]Sheet0!$1:$1,0))</f>
        <v>제3종일반주거지역</v>
      </c>
      <c r="AB4" t="str">
        <f>INDEX([1]Sheet0!$2:$7,ROW()-1,MATCH(AB$1,[1]Sheet0!$1:$1,0))</f>
        <v/>
      </c>
      <c r="AC4" t="str">
        <f>INDEX([1]Sheet0!$2:$7,ROW()-1,MATCH(AC$1,[1]Sheet0!$1:$1,0))</f>
        <v/>
      </c>
      <c r="AD4" t="str">
        <f>INDEX([1]Sheet0!$2:$7,ROW()-1,MATCH(AD$1,[1]Sheet0!$1:$1,0))</f>
        <v>0</v>
      </c>
      <c r="AE4" t="str">
        <f>INDEX([1]Sheet0!$2:$7,ROW()-1,MATCH(AE$1,[1]Sheet0!$1:$1,0))</f>
        <v>45</v>
      </c>
      <c r="AF4" t="str">
        <f>INDEX([1]Sheet0!$2:$7,ROW()-1,MATCH(AF$1,[1]Sheet0!$1:$1,0))</f>
        <v>0</v>
      </c>
      <c r="AG4" t="str">
        <f>INDEX([1]Sheet0!$2:$7,ROW()-1,MATCH(AG$1,[1]Sheet0!$1:$1,0))</f>
        <v>0</v>
      </c>
      <c r="AH4" t="str">
        <f>INDEX([1]Sheet0!$2:$7,ROW()-1,MATCH(AH$1,[1]Sheet0!$1:$1,0))</f>
        <v>45</v>
      </c>
      <c r="AI4" t="str">
        <f>INDEX([1]Sheet0!$2:$7,ROW()-1,MATCH(AI$1,[1]Sheet0!$1:$1,0))</f>
        <v>562.5</v>
      </c>
      <c r="AJ4" t="str">
        <f>INDEX([1]Sheet0!$2:$7,ROW()-1,MATCH(AJ$1,[1]Sheet0!$1:$1,0))</f>
        <v/>
      </c>
      <c r="AK4" t="str">
        <f>INDEX([1]Sheet0!$2:$7,ROW()-1,MATCH(AK$1,[1]Sheet0!$1:$1,0))</f>
        <v/>
      </c>
      <c r="AL4" t="str">
        <f>INDEX([1]Sheet0!$2:$7,ROW()-1,MATCH(AL$1,[1]Sheet0!$1:$1,0))</f>
        <v>3</v>
      </c>
      <c r="AM4" t="str">
        <f>INDEX([1]Sheet0!$2:$7,ROW()-1,MATCH(AM$1,[1]Sheet0!$1:$1,0))</f>
        <v>45</v>
      </c>
      <c r="AN4" t="str">
        <f>INDEX([1]Sheet0!$2:$7,ROW()-1,MATCH(AN$1,[1]Sheet0!$1:$1,0))</f>
        <v/>
      </c>
      <c r="AO4" t="str">
        <f>INDEX([1]Sheet0!$2:$7,ROW()-1,MATCH(AO$1,[1]Sheet0!$1:$1,0))</f>
        <v>건축사사무소여헌(주)</v>
      </c>
      <c r="AP4" t="str">
        <f>INDEX([1]Sheet0!$2:$7,ROW()-1,MATCH(AP$1,[1]Sheet0!$1:$1,0))</f>
        <v>건축사사무소여헌(주)</v>
      </c>
      <c r="AQ4" t="str">
        <f>INDEX([1]Sheet0!$2:$7,ROW()-1,MATCH(AQ$1,[1]Sheet0!$1:$1,0))</f>
        <v>유남종합건설 주식회사</v>
      </c>
    </row>
    <row r="5" spans="1:43" x14ac:dyDescent="0.4">
      <c r="A5" t="str">
        <f>INDEX([1]Sheet0!$2:$7,ROW()-1,MATCH(A$1,[1]Sheet0!$1:$1,0))</f>
        <v>대수선</v>
      </c>
      <c r="B5" t="str">
        <f>INDEX([1]Sheet0!$2:$7,ROW()-1,MATCH(B$1,[1]Sheet0!$1:$1,0))</f>
        <v>고척동 53-2  근린생활시설</v>
      </c>
      <c r="C5" t="str">
        <f>INDEX([1]Sheet0!$2:$7,ROW()-1,MATCH(C$1,[1]Sheet0!$1:$1,0))</f>
        <v>서울특별시 구로구 고척동 53-2</v>
      </c>
      <c r="D5" t="str">
        <f>INDEX([1]Sheet0!$2:$7,ROW()-1,MATCH(D$1,[1]Sheet0!$1:$1,0))</f>
        <v>대</v>
      </c>
      <c r="E5" t="str">
        <f>INDEX([1]Sheet0!$2:$7,ROW()-1,MATCH(E$1,[1]Sheet0!$1:$1,0))</f>
        <v>272</v>
      </c>
      <c r="F5" t="str">
        <f>INDEX([1]Sheet0!$2:$7,ROW()-1,MATCH(F$1,[1]Sheet0!$1:$1,0))</f>
        <v>229.42</v>
      </c>
      <c r="G5" t="str">
        <f>INDEX([1]Sheet0!$2:$7,ROW()-1,MATCH(G$1,[1]Sheet0!$1:$1,0))</f>
        <v>666.45</v>
      </c>
      <c r="H5" t="str">
        <f>INDEX([1]Sheet0!$2:$7,ROW()-1,MATCH(H$1,[1]Sheet0!$1:$1,0))</f>
        <v/>
      </c>
      <c r="I5" t="str">
        <f>INDEX([1]Sheet0!$2:$7,ROW()-1,MATCH(I$1,[1]Sheet0!$1:$1,0))</f>
        <v>84.35</v>
      </c>
      <c r="J5" t="str">
        <f>INDEX([1]Sheet0!$2:$7,ROW()-1,MATCH(J$1,[1]Sheet0!$1:$1,0))</f>
        <v>245.02</v>
      </c>
      <c r="K5" t="str">
        <f>INDEX([1]Sheet0!$2:$7,ROW()-1,MATCH(K$1,[1]Sheet0!$1:$1,0))</f>
        <v>철근콘크리트구조</v>
      </c>
      <c r="L5" t="str">
        <f>INDEX([1]Sheet0!$2:$7,ROW()-1,MATCH(L$1,[1]Sheet0!$1:$1,0))</f>
        <v/>
      </c>
      <c r="M5" t="str">
        <f>INDEX([1]Sheet0!$2:$7,ROW()-1,MATCH(M$1,[1]Sheet0!$1:$1,0))</f>
        <v>2025-04-30</v>
      </c>
      <c r="N5" t="str">
        <f>INDEX([1]Sheet0!$2:$7,ROW()-1,MATCH(N$1,[1]Sheet0!$1:$1,0))</f>
        <v>2026-03-11</v>
      </c>
      <c r="O5" t="str">
        <f>INDEX([1]Sheet0!$2:$7,ROW()-1,MATCH(O$1,[1]Sheet0!$1:$1,0))</f>
        <v>2025-09-23</v>
      </c>
      <c r="P5" t="str">
        <f>INDEX([1]Sheet0!$2:$7,ROW()-1,MATCH(P$1,[1]Sheet0!$1:$1,0))</f>
        <v>2026-04-14</v>
      </c>
      <c r="Q5" t="str">
        <f>INDEX([1]Sheet0!$2:$7,ROW()-1,MATCH(Q$1,[1]Sheet0!$1:$1,0))</f>
        <v>4</v>
      </c>
      <c r="R5" t="str">
        <f>INDEX([1]Sheet0!$2:$7,ROW()-1,MATCH(R$1,[1]Sheet0!$1:$1,0))</f>
        <v>0</v>
      </c>
      <c r="S5" t="str">
        <f>INDEX([1]Sheet0!$2:$7,ROW()-1,MATCH(S$1,[1]Sheet0!$1:$1,0))</f>
        <v>12.2</v>
      </c>
      <c r="T5" t="str">
        <f>INDEX([1]Sheet0!$2:$7,ROW()-1,MATCH(T$1,[1]Sheet0!$1:$1,0))</f>
        <v>1</v>
      </c>
      <c r="U5" t="str">
        <f>INDEX([1]Sheet0!$2:$7,ROW()-1,MATCH(U$1,[1]Sheet0!$1:$1,0))</f>
        <v>1</v>
      </c>
      <c r="V5" t="str">
        <f>INDEX([1]Sheet0!$2:$7,ROW()-1,MATCH(V$1,[1]Sheet0!$1:$1,0))</f>
        <v/>
      </c>
      <c r="W5" t="str">
        <f>INDEX([1]Sheet0!$2:$7,ROW()-1,MATCH(W$1,[1]Sheet0!$1:$1,0))</f>
        <v>부패탱크방법</v>
      </c>
      <c r="X5" t="str">
        <f>INDEX([1]Sheet0!$2:$7,ROW()-1,MATCH(X$1,[1]Sheet0!$1:$1,0))</f>
        <v>13</v>
      </c>
      <c r="Y5" t="str">
        <f>INDEX([1]Sheet0!$2:$7,ROW()-1,MATCH(Y$1,[1]Sheet0!$1:$1,0))</f>
        <v>제2종근린생활시설</v>
      </c>
      <c r="Z5" t="str">
        <f>INDEX([1]Sheet0!$2:$7,ROW()-1,MATCH(Z$1,[1]Sheet0!$1:$1,0))</f>
        <v>일반음식점</v>
      </c>
      <c r="AA5" t="str">
        <f>INDEX([1]Sheet0!$2:$7,ROW()-1,MATCH(AA$1,[1]Sheet0!$1:$1,0))</f>
        <v>도시지역</v>
      </c>
      <c r="AB5" t="str">
        <f>INDEX([1]Sheet0!$2:$7,ROW()-1,MATCH(AB$1,[1]Sheet0!$1:$1,0))</f>
        <v/>
      </c>
      <c r="AC5" t="str">
        <f>INDEX([1]Sheet0!$2:$7,ROW()-1,MATCH(AC$1,[1]Sheet0!$1:$1,0))</f>
        <v>장애물제한표면구역</v>
      </c>
      <c r="AD5" t="str">
        <f>INDEX([1]Sheet0!$2:$7,ROW()-1,MATCH(AD$1,[1]Sheet0!$1:$1,0))</f>
        <v>0</v>
      </c>
      <c r="AE5" t="str">
        <f>INDEX([1]Sheet0!$2:$7,ROW()-1,MATCH(AE$1,[1]Sheet0!$1:$1,0))</f>
        <v>0</v>
      </c>
      <c r="AF5" t="str">
        <f>INDEX([1]Sheet0!$2:$7,ROW()-1,MATCH(AF$1,[1]Sheet0!$1:$1,0))</f>
        <v>0</v>
      </c>
      <c r="AG5" t="str">
        <f>INDEX([1]Sheet0!$2:$7,ROW()-1,MATCH(AG$1,[1]Sheet0!$1:$1,0))</f>
        <v>0</v>
      </c>
      <c r="AH5" t="str">
        <f>INDEX([1]Sheet0!$2:$7,ROW()-1,MATCH(AH$1,[1]Sheet0!$1:$1,0))</f>
        <v>0</v>
      </c>
      <c r="AI5" t="str">
        <f>INDEX([1]Sheet0!$2:$7,ROW()-1,MATCH(AI$1,[1]Sheet0!$1:$1,0))</f>
        <v>0</v>
      </c>
      <c r="AJ5" t="str">
        <f>INDEX([1]Sheet0!$2:$7,ROW()-1,MATCH(AJ$1,[1]Sheet0!$1:$1,0))</f>
        <v/>
      </c>
      <c r="AK5" t="str">
        <f>INDEX([1]Sheet0!$2:$7,ROW()-1,MATCH(AK$1,[1]Sheet0!$1:$1,0))</f>
        <v/>
      </c>
      <c r="AL5" t="str">
        <f>INDEX([1]Sheet0!$2:$7,ROW()-1,MATCH(AL$1,[1]Sheet0!$1:$1,0))</f>
        <v>1</v>
      </c>
      <c r="AM5" t="str">
        <f>INDEX([1]Sheet0!$2:$7,ROW()-1,MATCH(AM$1,[1]Sheet0!$1:$1,0))</f>
        <v>0</v>
      </c>
      <c r="AN5" t="str">
        <f>INDEX([1]Sheet0!$2:$7,ROW()-1,MATCH(AN$1,[1]Sheet0!$1:$1,0))</f>
        <v/>
      </c>
      <c r="AO5" t="str">
        <f>INDEX([1]Sheet0!$2:$7,ROW()-1,MATCH(AO$1,[1]Sheet0!$1:$1,0))</f>
        <v>(주)KDI건축사사무소</v>
      </c>
      <c r="AP5" t="str">
        <f>INDEX([1]Sheet0!$2:$7,ROW()-1,MATCH(AP$1,[1]Sheet0!$1:$1,0))</f>
        <v>(주)KDI건축사사무소</v>
      </c>
      <c r="AQ5" t="str">
        <f>INDEX([1]Sheet0!$2:$7,ROW()-1,MATCH(AQ$1,[1]Sheet0!$1:$1,0))</f>
        <v>(주)경동하우징</v>
      </c>
    </row>
    <row r="6" spans="1:43" x14ac:dyDescent="0.4">
      <c r="A6" t="str">
        <f>INDEX([1]Sheet0!$2:$7,ROW()-1,MATCH(A$1,[1]Sheet0!$1:$1,0))</f>
        <v>신축</v>
      </c>
      <c r="B6" t="str">
        <f>INDEX([1]Sheet0!$2:$7,ROW()-1,MATCH(B$1,[1]Sheet0!$1:$1,0))</f>
        <v>아이유하임</v>
      </c>
      <c r="C6" t="str">
        <f>INDEX([1]Sheet0!$2:$7,ROW()-1,MATCH(C$1,[1]Sheet0!$1:$1,0))</f>
        <v>서울특별시 구로구 구로동 685-122</v>
      </c>
      <c r="D6" t="str">
        <f>INDEX([1]Sheet0!$2:$7,ROW()-1,MATCH(D$1,[1]Sheet0!$1:$1,0))</f>
        <v>대</v>
      </c>
      <c r="E6" t="str">
        <f>INDEX([1]Sheet0!$2:$7,ROW()-1,MATCH(E$1,[1]Sheet0!$1:$1,0))</f>
        <v>995</v>
      </c>
      <c r="F6" t="str">
        <f>INDEX([1]Sheet0!$2:$7,ROW()-1,MATCH(F$1,[1]Sheet0!$1:$1,0))</f>
        <v>353.75</v>
      </c>
      <c r="G6" t="str">
        <f>INDEX([1]Sheet0!$2:$7,ROW()-1,MATCH(G$1,[1]Sheet0!$1:$1,0))</f>
        <v>3,382.42</v>
      </c>
      <c r="H6" t="str">
        <f>INDEX([1]Sheet0!$2:$7,ROW()-1,MATCH(H$1,[1]Sheet0!$1:$1,0))</f>
        <v/>
      </c>
      <c r="I6" t="str">
        <f>INDEX([1]Sheet0!$2:$7,ROW()-1,MATCH(I$1,[1]Sheet0!$1:$1,0))</f>
        <v>35.55</v>
      </c>
      <c r="J6" t="str">
        <f>INDEX([1]Sheet0!$2:$7,ROW()-1,MATCH(J$1,[1]Sheet0!$1:$1,0))</f>
        <v>288.18</v>
      </c>
      <c r="K6" t="str">
        <f>INDEX([1]Sheet0!$2:$7,ROW()-1,MATCH(K$1,[1]Sheet0!$1:$1,0))</f>
        <v>철근콘크리트구조</v>
      </c>
      <c r="L6" t="str">
        <f>INDEX([1]Sheet0!$2:$7,ROW()-1,MATCH(L$1,[1]Sheet0!$1:$1,0))</f>
        <v/>
      </c>
      <c r="M6" t="str">
        <f>INDEX([1]Sheet0!$2:$7,ROW()-1,MATCH(M$1,[1]Sheet0!$1:$1,0))</f>
        <v>2025-03-04</v>
      </c>
      <c r="N6" t="str">
        <f>INDEX([1]Sheet0!$2:$7,ROW()-1,MATCH(N$1,[1]Sheet0!$1:$1,0))</f>
        <v/>
      </c>
      <c r="O6" t="str">
        <f>INDEX([1]Sheet0!$2:$7,ROW()-1,MATCH(O$1,[1]Sheet0!$1:$1,0))</f>
        <v>2025-03-31</v>
      </c>
      <c r="P6" t="str">
        <f>INDEX([1]Sheet0!$2:$7,ROW()-1,MATCH(P$1,[1]Sheet0!$1:$1,0))</f>
        <v>2026-04-09</v>
      </c>
      <c r="Q6" t="str">
        <f>INDEX([1]Sheet0!$2:$7,ROW()-1,MATCH(Q$1,[1]Sheet0!$1:$1,0))</f>
        <v>11</v>
      </c>
      <c r="R6" t="str">
        <f>INDEX([1]Sheet0!$2:$7,ROW()-1,MATCH(R$1,[1]Sheet0!$1:$1,0))</f>
        <v>1</v>
      </c>
      <c r="S6" t="str">
        <f>INDEX([1]Sheet0!$2:$7,ROW()-1,MATCH(S$1,[1]Sheet0!$1:$1,0))</f>
        <v>37.15</v>
      </c>
      <c r="T6" t="str">
        <f>INDEX([1]Sheet0!$2:$7,ROW()-1,MATCH(T$1,[1]Sheet0!$1:$1,0))</f>
        <v>1</v>
      </c>
      <c r="U6" t="str">
        <f>INDEX([1]Sheet0!$2:$7,ROW()-1,MATCH(U$1,[1]Sheet0!$1:$1,0))</f>
        <v>1</v>
      </c>
      <c r="V6" t="str">
        <f>INDEX([1]Sheet0!$2:$7,ROW()-1,MATCH(V$1,[1]Sheet0!$1:$1,0))</f>
        <v/>
      </c>
      <c r="W6" t="str">
        <f>INDEX([1]Sheet0!$2:$7,ROW()-1,MATCH(W$1,[1]Sheet0!$1:$1,0))</f>
        <v>부패탱크방법</v>
      </c>
      <c r="X6" t="str">
        <f>INDEX([1]Sheet0!$2:$7,ROW()-1,MATCH(X$1,[1]Sheet0!$1:$1,0))</f>
        <v>21</v>
      </c>
      <c r="Y6" t="str">
        <f>INDEX([1]Sheet0!$2:$7,ROW()-1,MATCH(Y$1,[1]Sheet0!$1:$1,0))</f>
        <v>업무시설</v>
      </c>
      <c r="Z6" t="str">
        <f>INDEX([1]Sheet0!$2:$7,ROW()-1,MATCH(Z$1,[1]Sheet0!$1:$1,0))</f>
        <v>오피스텔</v>
      </c>
      <c r="AA6" t="str">
        <f>INDEX([1]Sheet0!$2:$7,ROW()-1,MATCH(AA$1,[1]Sheet0!$1:$1,0))</f>
        <v>가로구역별최고높이제한지역</v>
      </c>
      <c r="AB6" t="str">
        <f>INDEX([1]Sheet0!$2:$7,ROW()-1,MATCH(AB$1,[1]Sheet0!$1:$1,0))</f>
        <v>대공방어협조구역</v>
      </c>
      <c r="AC6" t="str">
        <f>INDEX([1]Sheet0!$2:$7,ROW()-1,MATCH(AC$1,[1]Sheet0!$1:$1,0))</f>
        <v>장애물제한표면구역</v>
      </c>
      <c r="AD6" t="str">
        <f>INDEX([1]Sheet0!$2:$7,ROW()-1,MATCH(AD$1,[1]Sheet0!$1:$1,0))</f>
        <v>30</v>
      </c>
      <c r="AE6" t="str">
        <f>INDEX([1]Sheet0!$2:$7,ROW()-1,MATCH(AE$1,[1]Sheet0!$1:$1,0))</f>
        <v>0</v>
      </c>
      <c r="AF6" t="str">
        <f>INDEX([1]Sheet0!$2:$7,ROW()-1,MATCH(AF$1,[1]Sheet0!$1:$1,0))</f>
        <v>0</v>
      </c>
      <c r="AG6" t="str">
        <f>INDEX([1]Sheet0!$2:$7,ROW()-1,MATCH(AG$1,[1]Sheet0!$1:$1,0))</f>
        <v>0</v>
      </c>
      <c r="AH6" t="str">
        <f>INDEX([1]Sheet0!$2:$7,ROW()-1,MATCH(AH$1,[1]Sheet0!$1:$1,0))</f>
        <v>30</v>
      </c>
      <c r="AI6" t="str">
        <f>INDEX([1]Sheet0!$2:$7,ROW()-1,MATCH(AI$1,[1]Sheet0!$1:$1,0))</f>
        <v>388.51</v>
      </c>
      <c r="AJ6" t="str">
        <f>INDEX([1]Sheet0!$2:$7,ROW()-1,MATCH(AJ$1,[1]Sheet0!$1:$1,0))</f>
        <v/>
      </c>
      <c r="AK6" t="str">
        <f>INDEX([1]Sheet0!$2:$7,ROW()-1,MATCH(AK$1,[1]Sheet0!$1:$1,0))</f>
        <v>38</v>
      </c>
      <c r="AL6" t="str">
        <f>INDEX([1]Sheet0!$2:$7,ROW()-1,MATCH(AL$1,[1]Sheet0!$1:$1,0))</f>
        <v>1</v>
      </c>
      <c r="AM6" t="str">
        <f>INDEX([1]Sheet0!$2:$7,ROW()-1,MATCH(AM$1,[1]Sheet0!$1:$1,0))</f>
        <v>30</v>
      </c>
      <c r="AN6" t="str">
        <f>INDEX([1]Sheet0!$2:$7,ROW()-1,MATCH(AN$1,[1]Sheet0!$1:$1,0))</f>
        <v/>
      </c>
      <c r="AO6" t="str">
        <f>INDEX([1]Sheet0!$2:$7,ROW()-1,MATCH(AO$1,[1]Sheet0!$1:$1,0))</f>
        <v>(주)아르윈건축사사무소</v>
      </c>
      <c r="AP6" t="str">
        <f>INDEX([1]Sheet0!$2:$7,ROW()-1,MATCH(AP$1,[1]Sheet0!$1:$1,0))</f>
        <v>주식회사 위빌드건축사사무소</v>
      </c>
      <c r="AQ6" t="str">
        <f>INDEX([1]Sheet0!$2:$7,ROW()-1,MATCH(AQ$1,[1]Sheet0!$1:$1,0))</f>
        <v>주식회사 에스에이치종합개발</v>
      </c>
    </row>
    <row r="7" spans="1:43" x14ac:dyDescent="0.4">
      <c r="A7" t="str">
        <f>INDEX([1]Sheet0!$2:$7,ROW()-1,MATCH(A$1,[1]Sheet0!$1:$1,0))</f>
        <v>신축</v>
      </c>
      <c r="B7" t="str">
        <f>INDEX([1]Sheet0!$2:$7,ROW()-1,MATCH(B$1,[1]Sheet0!$1:$1,0))</f>
        <v>미라벨</v>
      </c>
      <c r="C7" t="str">
        <f>INDEX([1]Sheet0!$2:$7,ROW()-1,MATCH(C$1,[1]Sheet0!$1:$1,0))</f>
        <v>서울특별시 구로구 구로동 409-99</v>
      </c>
      <c r="D7" t="str">
        <f>INDEX([1]Sheet0!$2:$7,ROW()-1,MATCH(D$1,[1]Sheet0!$1:$1,0))</f>
        <v>대</v>
      </c>
      <c r="E7" t="str">
        <f>INDEX([1]Sheet0!$2:$7,ROW()-1,MATCH(E$1,[1]Sheet0!$1:$1,0))</f>
        <v>202</v>
      </c>
      <c r="F7" t="str">
        <f>INDEX([1]Sheet0!$2:$7,ROW()-1,MATCH(F$1,[1]Sheet0!$1:$1,0))</f>
        <v>119.64</v>
      </c>
      <c r="G7" t="str">
        <f>INDEX([1]Sheet0!$2:$7,ROW()-1,MATCH(G$1,[1]Sheet0!$1:$1,0))</f>
        <v>391.88</v>
      </c>
      <c r="H7" t="str">
        <f>INDEX([1]Sheet0!$2:$7,ROW()-1,MATCH(H$1,[1]Sheet0!$1:$1,0))</f>
        <v/>
      </c>
      <c r="I7" t="str">
        <f>INDEX([1]Sheet0!$2:$7,ROW()-1,MATCH(I$1,[1]Sheet0!$1:$1,0))</f>
        <v>59.23</v>
      </c>
      <c r="J7" t="str">
        <f>INDEX([1]Sheet0!$2:$7,ROW()-1,MATCH(J$1,[1]Sheet0!$1:$1,0))</f>
        <v>194</v>
      </c>
      <c r="K7" t="str">
        <f>INDEX([1]Sheet0!$2:$7,ROW()-1,MATCH(K$1,[1]Sheet0!$1:$1,0))</f>
        <v>철근콘크리트구조</v>
      </c>
      <c r="L7" t="str">
        <f>INDEX([1]Sheet0!$2:$7,ROW()-1,MATCH(L$1,[1]Sheet0!$1:$1,0))</f>
        <v/>
      </c>
      <c r="M7" t="str">
        <f>INDEX([1]Sheet0!$2:$7,ROW()-1,MATCH(M$1,[1]Sheet0!$1:$1,0))</f>
        <v>2022-04-27</v>
      </c>
      <c r="N7" t="str">
        <f>INDEX([1]Sheet0!$2:$7,ROW()-1,MATCH(N$1,[1]Sheet0!$1:$1,0))</f>
        <v/>
      </c>
      <c r="O7" t="str">
        <f>INDEX([1]Sheet0!$2:$7,ROW()-1,MATCH(O$1,[1]Sheet0!$1:$1,0))</f>
        <v>2022-09-28</v>
      </c>
      <c r="P7" t="str">
        <f>INDEX([1]Sheet0!$2:$7,ROW()-1,MATCH(P$1,[1]Sheet0!$1:$1,0))</f>
        <v>2026-04-13</v>
      </c>
      <c r="Q7" t="str">
        <f>INDEX([1]Sheet0!$2:$7,ROW()-1,MATCH(Q$1,[1]Sheet0!$1:$1,0))</f>
        <v>5</v>
      </c>
      <c r="R7" t="str">
        <f>INDEX([1]Sheet0!$2:$7,ROW()-1,MATCH(R$1,[1]Sheet0!$1:$1,0))</f>
        <v>0</v>
      </c>
      <c r="S7" t="str">
        <f>INDEX([1]Sheet0!$2:$7,ROW()-1,MATCH(S$1,[1]Sheet0!$1:$1,0))</f>
        <v>16.6</v>
      </c>
      <c r="T7" t="str">
        <f>INDEX([1]Sheet0!$2:$7,ROW()-1,MATCH(T$1,[1]Sheet0!$1:$1,0))</f>
        <v>1</v>
      </c>
      <c r="U7" t="str">
        <f>INDEX([1]Sheet0!$2:$7,ROW()-1,MATCH(U$1,[1]Sheet0!$1:$1,0))</f>
        <v>1</v>
      </c>
      <c r="V7" t="str">
        <f>INDEX([1]Sheet0!$2:$7,ROW()-1,MATCH(V$1,[1]Sheet0!$1:$1,0))</f>
        <v/>
      </c>
      <c r="W7" t="str">
        <f>INDEX([1]Sheet0!$2:$7,ROW()-1,MATCH(W$1,[1]Sheet0!$1:$1,0))</f>
        <v>부패탱크방법</v>
      </c>
      <c r="X7" t="str">
        <f>INDEX([1]Sheet0!$2:$7,ROW()-1,MATCH(X$1,[1]Sheet0!$1:$1,0))</f>
        <v/>
      </c>
      <c r="Y7" t="str">
        <f>INDEX([1]Sheet0!$2:$7,ROW()-1,MATCH(Y$1,[1]Sheet0!$1:$1,0))</f>
        <v>공동주택</v>
      </c>
      <c r="Z7" t="str">
        <f>INDEX([1]Sheet0!$2:$7,ROW()-1,MATCH(Z$1,[1]Sheet0!$1:$1,0))</f>
        <v>다세대주택</v>
      </c>
      <c r="AA7" t="str">
        <f>INDEX([1]Sheet0!$2:$7,ROW()-1,MATCH(AA$1,[1]Sheet0!$1:$1,0))</f>
        <v>제2종일반주거지역</v>
      </c>
      <c r="AB7" t="str">
        <f>INDEX([1]Sheet0!$2:$7,ROW()-1,MATCH(AB$1,[1]Sheet0!$1:$1,0))</f>
        <v/>
      </c>
      <c r="AC7" t="str">
        <f>INDEX([1]Sheet0!$2:$7,ROW()-1,MATCH(AC$1,[1]Sheet0!$1:$1,0))</f>
        <v/>
      </c>
      <c r="AD7" t="str">
        <f>INDEX([1]Sheet0!$2:$7,ROW()-1,MATCH(AD$1,[1]Sheet0!$1:$1,0))</f>
        <v>5</v>
      </c>
      <c r="AE7" t="str">
        <f>INDEX([1]Sheet0!$2:$7,ROW()-1,MATCH(AE$1,[1]Sheet0!$1:$1,0))</f>
        <v>1</v>
      </c>
      <c r="AF7" t="str">
        <f>INDEX([1]Sheet0!$2:$7,ROW()-1,MATCH(AF$1,[1]Sheet0!$1:$1,0))</f>
        <v>0</v>
      </c>
      <c r="AG7" t="str">
        <f>INDEX([1]Sheet0!$2:$7,ROW()-1,MATCH(AG$1,[1]Sheet0!$1:$1,0))</f>
        <v>0</v>
      </c>
      <c r="AH7" t="str">
        <f>INDEX([1]Sheet0!$2:$7,ROW()-1,MATCH(AH$1,[1]Sheet0!$1:$1,0))</f>
        <v>6</v>
      </c>
      <c r="AI7" t="str">
        <f>INDEX([1]Sheet0!$2:$7,ROW()-1,MATCH(AI$1,[1]Sheet0!$1:$1,0))</f>
        <v>85.54</v>
      </c>
      <c r="AJ7" t="str">
        <f>INDEX([1]Sheet0!$2:$7,ROW()-1,MATCH(AJ$1,[1]Sheet0!$1:$1,0))</f>
        <v>7</v>
      </c>
      <c r="AK7" t="str">
        <f>INDEX([1]Sheet0!$2:$7,ROW()-1,MATCH(AK$1,[1]Sheet0!$1:$1,0))</f>
        <v/>
      </c>
      <c r="AL7" t="str">
        <f>INDEX([1]Sheet0!$2:$7,ROW()-1,MATCH(AL$1,[1]Sheet0!$1:$1,0))</f>
        <v>1</v>
      </c>
      <c r="AM7" t="str">
        <f>INDEX([1]Sheet0!$2:$7,ROW()-1,MATCH(AM$1,[1]Sheet0!$1:$1,0))</f>
        <v>6</v>
      </c>
      <c r="AN7" t="str">
        <f>INDEX([1]Sheet0!$2:$7,ROW()-1,MATCH(AN$1,[1]Sheet0!$1:$1,0))</f>
        <v/>
      </c>
      <c r="AO7" t="str">
        <f>INDEX([1]Sheet0!$2:$7,ROW()-1,MATCH(AO$1,[1]Sheet0!$1:$1,0))</f>
        <v>(주)아더건축사사무소</v>
      </c>
      <c r="AP7" t="str">
        <f>INDEX([1]Sheet0!$2:$7,ROW()-1,MATCH(AP$1,[1]Sheet0!$1:$1,0))</f>
        <v>(주)아더건축사사무소</v>
      </c>
      <c r="AQ7" t="str">
        <f>INDEX([1]Sheet0!$2:$7,ROW()-1,MATCH(AQ$1,[1]Sheet0!$1:$1,0))</f>
        <v/>
      </c>
    </row>
    <row r="8" spans="1:43" x14ac:dyDescent="0.4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</vt:lpstr>
      <vt:lpstr>사용승인허가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2026-05-06T02:31:37Z</dcterms:modified>
</cp:coreProperties>
</file>